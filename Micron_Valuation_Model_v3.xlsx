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1.xml" ContentType="application/vnd.openxmlformats-officedocument.spreadsheetml.worksheet+xml"/>
  <Override PartName="/xl/worksheets/sheet6.xml" ContentType="application/vnd.openxmlformats-officedocument.spreadsheetml.worksheet+xml"/>
  <Override PartName="/xl/worksheets/sheet5.xml" ContentType="application/vnd.openxmlformats-officedocument.spreadsheetml.worksheet+xml"/>
  <Override PartName="/xl/worksheets/sheet14.xml" ContentType="application/vnd.openxmlformats-officedocument.spreadsheetml.worksheet+xml"/>
  <Override PartName="/xl/worksheets/sheet13.xml" ContentType="application/vnd.openxmlformats-officedocument.spreadsheetml.worksheet+xml"/>
  <Override PartName="/xl/worksheets/sheet7.xml" ContentType="application/vnd.openxmlformats-officedocument.spreadsheetml.worksheet+xml"/>
  <Override PartName="/xl/worksheets/sheet4.xml" ContentType="application/vnd.openxmlformats-officedocument.spreadsheetml.worksheet+xml"/>
  <Override PartName="/xl/worksheets/sheet10.xml" ContentType="application/vnd.openxmlformats-officedocument.spreadsheetml.worksheet+xml"/>
  <Override PartName="/xl/worksheets/sheet16.xml" ContentType="application/vnd.openxmlformats-officedocument.spreadsheetml.worksheet+xml"/>
  <Override PartName="/xl/worksheets/sheet23.xml" ContentType="application/vnd.openxmlformats-officedocument.spreadsheetml.worksheet+xml"/>
  <Override PartName="/xl/worksheets/sheet9.xml" ContentType="application/vnd.openxmlformats-officedocument.spreadsheetml.worksheet+xml"/>
  <Override PartName="/xl/worksheets/sheet17.xml" ContentType="application/vnd.openxmlformats-officedocument.spreadsheetml.worksheet+xml"/>
  <Override PartName="/xl/worksheets/sheet12.xml" ContentType="application/vnd.openxmlformats-officedocument.spreadsheetml.worksheet+xml"/>
  <Override PartName="/xl/worksheets/sheet22.xml" ContentType="application/vnd.openxmlformats-officedocument.spreadsheetml.worksheet+xml"/>
  <Override PartName="/xl/worksheets/sheet21.xml" ContentType="application/vnd.openxmlformats-officedocument.spreadsheetml.worksheet+xml"/>
  <Override PartName="/xl/worksheets/sheet8.xml" ContentType="application/vnd.openxmlformats-officedocument.spreadsheetml.worksheet+xml"/>
  <Override PartName="/xl/worksheets/sheet24.xml" ContentType="application/vnd.openxmlformats-officedocument.spreadsheetml.worksheet+xml"/>
  <Override PartName="/xl/worksheets/sheet15.xml" ContentType="application/vnd.openxmlformats-officedocument.spreadsheetml.worksheet+xml"/>
  <Override PartName="/xl/worksheets/sheet20.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18.xml" ContentType="application/vnd.openxmlformats-officedocument.spreadsheetml.worksheet+xml"/>
  <Override PartName="/xl/worksheets/sheet1.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Guide" sheetId="1" state="visible" r:id="rId3"/>
    <sheet name="Tracker" sheetId="2" state="visible" r:id="rId4"/>
    <sheet name="Assumptions" sheetId="3" state="visible" r:id="rId5"/>
    <sheet name="CurrentData" sheetId="4" state="visible" r:id="rId6"/>
    <sheet name="HistoricalCycle" sheetId="5" state="visible" r:id="rId7"/>
    <sheet name="PB_ROE_Model" sheetId="6" state="visible" r:id="rId8"/>
    <sheet name="NormalizedEarnings" sheetId="7" state="visible" r:id="rId9"/>
    <sheet name="Scenarios" sheetId="8" state="visible" r:id="rId10"/>
    <sheet name="Consensus" sheetId="9" state="visible" r:id="rId11"/>
    <sheet name="ConsensusValuation" sheetId="10" state="visible" r:id="rId12"/>
    <sheet name="ResearchSummary" sheetId="11" state="visible" r:id="rId13"/>
    <sheet name="ChinaRisk" sheetId="12" state="visible" r:id="rId14"/>
    <sheet name="Buybacks" sheetId="13" state="visible" r:id="rId15"/>
    <sheet name="PurchaseStrategy" sheetId="14" state="visible" r:id="rId16"/>
    <sheet name="RIM_3Stage" sheetId="15" state="visible" r:id="rId17"/>
    <sheet name="TargetPriceCheck" sheetId="16" state="visible" r:id="rId18"/>
    <sheet name="MixPath" sheetId="17" state="visible" r:id="rId19"/>
    <sheet name="SegmentMargin" sheetId="18" state="visible" r:id="rId20"/>
    <sheet name="ROE_Build" sheetId="19" state="visible" r:id="rId21"/>
    <sheet name="TerminalROE" sheetId="20" state="visible" r:id="rId22"/>
    <sheet name="PB_Bridge" sheetId="21" state="visible" r:id="rId23"/>
    <sheet name="DiscountRate" sheetId="22" state="visible" r:id="rId24"/>
    <sheet name="Sensitivity" sheetId="23" state="visible" r:id="rId25"/>
    <sheet name="AssumptionGrades" sheetId="24" state="visible" r:id="rId2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<sst xmlns="http://schemas.openxmlformats.org/spreadsheetml/2006/main" count="2257" uniqueCount="1724">
  <si>
    <t xml:space="preserve">Micron (MU) Cycle Valuation Model — Guide</t>
  </si>
  <si>
    <t xml:space="preserve">Purpose of This Model</t>
  </si>
  <si>
    <t xml:space="preserve">Cyclicals like memory cannot be valued on P/E. At the peak, earnings are highest so P/E looks lowest;</t>
  </si>
  <si>
    <t xml:space="preserve">at the trough, losses make P/E meaningless. This model offers three alternatives.</t>
  </si>
  <si>
    <t xml:space="preserve">① P/B × ROE</t>
  </si>
  <si>
    <t xml:space="preserve">Assumes a sustainable ROE and solves for justified P/B. The standard memory-sector frame.</t>
  </si>
  <si>
    <t xml:space="preserve">(2) Normalized earnings</t>
  </si>
  <si>
    <t xml:space="preserve">Builds a normalized EPS on mid-cycle margins and applies a multiple.</t>
  </si>
  <si>
    <t xml:space="preserve">(3) Probability-weighted scenarios</t>
  </si>
  <si>
    <t xml:space="preserve">Assigns probabilities to bull, base and bear cases to produce an expected value.</t>
  </si>
  <si>
    <t xml:space="preserve">The Most Useful Way to Read This</t>
  </si>
  <si>
    <t xml:space="preserve">Rather than asking what the fair value is, it is more practical to back-solve what the current price already assumes.</t>
  </si>
  <si>
    <t xml:space="preserve">On the PB_ROE_Model tab, find the ROE in the sensitivity grid that corresponds to the current price.</t>
  </si>
  <si>
    <t xml:space="preserve">Then the only judgment left is whether you believe that ROE.</t>
  </si>
  <si>
    <t xml:space="preserve">Cell Colour Legend</t>
  </si>
  <si>
    <t xml:space="preserve">Blue text</t>
  </si>
  <si>
    <t xml:space="preserve">Hardcoded input or scenario lever</t>
  </si>
  <si>
    <t xml:space="preserve">Black text</t>
  </si>
  <si>
    <t xml:space="preserve">Formula (calculated automatically - do not edit)</t>
  </si>
  <si>
    <t xml:space="preserve">Green text</t>
  </si>
  <si>
    <t xml:space="preserve">Reference to another sheet</t>
  </si>
  <si>
    <t xml:space="preserve">Yellow fill</t>
  </si>
  <si>
    <t xml:space="preserve">[*] Edit here - key assumption input cells</t>
  </si>
  <si>
    <t xml:space="preserve">Tab Layout</t>
  </si>
  <si>
    <t xml:space="preserve">Assumptions</t>
  </si>
  <si>
    <t xml:space="preserve">[*] All inputs live here. Start on this tab.</t>
  </si>
  <si>
    <t xml:space="preserve">CurrentData</t>
  </si>
  <si>
    <t xml:space="preserve">Micron actuals as of 2026-07-28, with sources noted</t>
  </si>
  <si>
    <t xml:space="preserve">HistoricalCycle</t>
  </si>
  <si>
    <t xml:space="preserve">Results and valuation from FY2021 to date - context for where the cycle stands</t>
  </si>
  <si>
    <t xml:space="preserve">PB_ROE_Model</t>
  </si>
  <si>
    <t xml:space="preserve">Justified P/B = (ROE-g)/(COE-g), with an ROE by g sensitivity grid</t>
  </si>
  <si>
    <t xml:space="preserve">NormalizedEarnings</t>
  </si>
  <si>
    <t xml:space="preserve">Normalized revenue x margin gives normalized EPS, then a target multiple; margin by multiple grid</t>
  </si>
  <si>
    <t xml:space="preserve">Scenarios</t>
  </si>
  <si>
    <t xml:space="preserve">Probability-weighted expected value across bull, base and bear</t>
  </si>
  <si>
    <t xml:space="preserve">Consensus</t>
  </si>
  <si>
    <t xml:space="preserve">Full analyst estimates FY2025(A) to FY2029(E) - median, low, high and estimate counts</t>
  </si>
  <si>
    <t xml:space="preserve">ConsensusValuation</t>
  </si>
  <si>
    <t xml:space="preserve">[*] Forward P/E, P/B and EV/EBITDA by year, plus a consensus achievement (haircut) adjustment</t>
  </si>
  <si>
    <t xml:space="preserve">Disclaimer: This file is a template for learning valuation methodology. It is not investment advice, and every assumption must be independently verified by the user.</t>
  </si>
  <si>
    <t xml:space="preserve">Created 2026-07-28. Market data sources: Finviz, stockanalysis.com (Fiscal.ai)</t>
  </si>
  <si>
    <t xml:space="preserve">Key finding: On the FY2028 consensus BPS of $437.94, forward P/B is 1.91x - below the five-year average of 1.95x.</t>
  </si>
  <si>
    <t xml:space="preserve">That assumes consensus is realized in full, including a 70.7% FY2027 net margin. Stress it by lowering the achievement rate on the ConsensusValuation tab.</t>
  </si>
  <si>
    <t xml:space="preserve">Added 2026-07-31 — Mix-Based ROE Build-up (tabs 12-15)</t>
  </si>
  <si>
    <t xml:space="preserve">MixPath</t>
  </si>
  <si>
    <t xml:space="preserve">Wafer allocation to bit share to revenue mix. Anchored on TrendForce actuals with an [*] ASP premium lever.</t>
  </si>
  <si>
    <t xml:space="preserve">SegmentMargin</t>
  </si>
  <si>
    <t xml:space="preserve">Segment OPM to blended EBIT margin. [*] Cross-check 1 against consensus EBIT margin, deriving the achievement rate.</t>
  </si>
  <si>
    <t xml:space="preserve">ROE_Build</t>
  </si>
  <si>
    <t xml:space="preserve">Derives ROE via two-factor DuPont. [*] Cross-check 2 against consensus ROE.</t>
  </si>
  <si>
    <t xml:space="preserve">TerminalROE</t>
  </si>
  <si>
    <t xml:space="preserve">Applies a through-cycle adjustment. RIM_3Stage B10 reads this; manual entry retired.</t>
  </si>
  <si>
    <t xml:space="preserve">Note: The information hierarchy has been inverted. Previously terminal ROE was entered by hand and a price fell out. Now ROE is derived from wafer allocation and consensus becomes the thing being tested.</t>
  </si>
  <si>
    <t xml:space="preserve">Note: [*] Input cells - MixPath B6:E8 (wafer share, trade ratio, DRAM share) and B11 (premium case); SegmentMargin B6:E8 (segment OPM); TerminalROE B13 (smoothing efficiency).</t>
  </si>
  <si>
    <t xml:space="preserve">Added 2026-07-31 (second pass) — ASP Drivers and the Multiple Explanation Layer</t>
  </si>
  <si>
    <t xml:space="preserve">SegmentMargin rows 37-52</t>
  </si>
  <si>
    <t xml:space="preserve">(17) ASP Drivers. Retires manual OPM entry and derives it from ASP indices: OPM = 1 - (1 - base OPM) / ASP index.</t>
  </si>
  <si>
    <t xml:space="preserve">Scenarios rows 32-63</t>
  </si>
  <si>
    <t xml:space="preserve">(16) Derivation block. Adjusting only three indices - commodity spot ASP, HBM contract ASP and NAND ASP - derives premium, mix, revenue and margin.</t>
  </si>
  <si>
    <t xml:space="preserve">PB_Bridge</t>
  </si>
  <si>
    <t xml:space="preserve">(18) Splits P/B into three pieces - book value, explicit residual income and terminal. Includes a news routing table.</t>
  </si>
  <si>
    <t xml:space="preserve">Note: No adjustment-factor cell exists for P/B. Every news item routes through the table on PB_Bridge rows 57-69 into an existing input cell.</t>
  </si>
  <si>
    <t xml:space="preserve">(9) Micron Tracker — What to Watch Before Updating the View</t>
  </si>
  <si>
    <t xml:space="preserve">Written 2026-07-29. Margin calls are setting prices right now, so valuation judgment is suspended until the indicators below confirm a regime change.</t>
  </si>
  <si>
    <t xml:space="preserve">Stage 1 — Has Forced Liquidation Ended (check daily over the next one to three weeks)</t>
  </si>
  <si>
    <t xml:space="preserve">Indicator</t>
  </si>
  <si>
    <t xml:space="preserve">How to check</t>
  </si>
  <si>
    <t xml:space="preserve">Liquidation ongoing</t>
  </si>
  <si>
    <t xml:space="preserve">Signal that liquidation has ended</t>
  </si>
  <si>
    <t xml:space="preserve">Log</t>
  </si>
  <si>
    <t xml:space="preserve">Circuit breakers and sidecars</t>
  </si>
  <si>
    <t xml:space="preserve">KRX disclosures and news</t>
  </si>
  <si>
    <t xml:space="preserve">Triggered two days running (Jul 28-29)</t>
  </si>
  <si>
    <t xml:space="preserve">No trigger for three sessions or more</t>
  </si>
  <si>
    <t xml:space="preserve">Trading value</t>
  </si>
  <si>
    <t xml:space="preserve">KRX and Nasdaq daily</t>
  </si>
  <si>
    <t xml:space="preserve">Inflated by forced selling</t>
  </si>
  <si>
    <t xml:space="preserve">Back to normal levels</t>
  </si>
  <si>
    <t xml:space="preserve">Retail net selling</t>
  </si>
  <si>
    <t xml:space="preserve">KRX flows by investor type</t>
  </si>
  <si>
    <t xml:space="preserve">KRW 1.4tn net selling on Jul 29</t>
  </si>
  <si>
    <t xml:space="preserve">Turns to net buying or neutral</t>
  </si>
  <si>
    <t xml:space="preserve">Leveraged ETF assets under management</t>
  </si>
  <si>
    <t xml:space="preserve">Single-stock 2x ETF balances</t>
  </si>
  <si>
    <t xml:space="preserve">Declining since the late-June peak</t>
  </si>
  <si>
    <t xml:space="preserve">Decline stops and flattens</t>
  </si>
  <si>
    <t xml:space="preserve">Micron intraday range</t>
  </si>
  <si>
    <t xml:space="preserve">ATR(14) at 79.67, or 9.5% of the share price</t>
  </si>
  <si>
    <t xml:space="preserve">Above 7% of the share price</t>
  </si>
  <si>
    <t xml:space="preserve">Narrows below 4% of the share price</t>
  </si>
  <si>
    <t xml:space="preserve">Implied correlation</t>
  </si>
  <si>
    <t xml:space="preserve">S&amp;P 500 three-month implied correlation</t>
  </si>
  <si>
    <t xml:space="preserve">At multi-decade lows, with AI treated as a dispersion story</t>
  </si>
  <si>
    <t xml:space="preserve">A rise means AI has become an aggregate story - warning sign</t>
  </si>
  <si>
    <t xml:space="preserve">Stage 2 — Panic or Re-rating (scheduled events)</t>
  </si>
  <si>
    <t xml:space="preserve">Date</t>
  </si>
  <si>
    <t xml:space="preserve">Event</t>
  </si>
  <si>
    <t xml:space="preserve">What to check</t>
  </si>
  <si>
    <t xml:space="preserve">Bullish signal</t>
  </si>
  <si>
    <t xml:space="preserve">Bearish signal</t>
  </si>
  <si>
    <t xml:space="preserve">August 2026</t>
  </si>
  <si>
    <t xml:space="preserve">Capacity calendar of the top three</t>
  </si>
  <si>
    <t xml:space="preserve">Timing for Samsung P4/P5, SK hynix M15X and Yongin phase one, and Micron Idaho</t>
  </si>
  <si>
    <t xml:space="preserve">Schedules slip or capacity is prioritized to HBM</t>
  </si>
  <si>
    <t xml:space="preserve">Start-up pulled forward (SK hynix M15X already confirmed earlier)</t>
  </si>
  <si>
    <t xml:space="preserve">Late September to early October 2026</t>
  </si>
  <si>
    <t xml:space="preserve">Micron FY26 Q4 results</t>
  </si>
  <si>
    <t xml:space="preserve">(1) direction of ASP to cloud providers (2) FY27 capex guidance (3) progress on HBM contracts</t>
  </si>
  <si>
    <t xml:space="preserve">ASP keeps rising with capex discipline</t>
  </si>
  <si>
    <t xml:space="preserve">Missing consensus for the same reason as SK hynix would confirm the cycle has turned</t>
  </si>
  <si>
    <t xml:space="preserve">October 2026</t>
  </si>
  <si>
    <t xml:space="preserve">SK hynix Q3 results</t>
  </si>
  <si>
    <t xml:space="preserve">Whether the Q2 ASP slowdown was one-off</t>
  </si>
  <si>
    <t xml:space="preserve">Slowdown reverses and the bonus effect is confirmed as gone</t>
  </si>
  <si>
    <t xml:space="preserve">A second consecutive quarter of ASP slowdown</t>
  </si>
  <si>
    <t xml:space="preserve">November to December 2026</t>
  </si>
  <si>
    <t xml:space="preserve">HBM4 annual contract price negotiation</t>
  </si>
  <si>
    <t xml:space="preserve">HBM has no spot market, so this negotiation is the only price signal</t>
  </si>
  <si>
    <t xml:space="preserve">Close to the Goldman forecast of +44-50%</t>
  </si>
  <si>
    <t xml:space="preserve">Below the consensus of +34%</t>
  </si>
  <si>
    <t xml:space="preserve">9 December 2026</t>
  </si>
  <si>
    <t xml:space="preserve">Micron CHIPS restriction lifts</t>
  </si>
  <si>
    <t xml:space="preserve">(1) buyback size (2) duration (3) whether restrictions remain in years three to five</t>
  </si>
  <si>
    <t xml:space="preserve">A specific, large program is announced</t>
  </si>
  <si>
    <t xml:space="preserve">No announcement or a small one, repeating the SK hynix pattern</t>
  </si>
  <si>
    <t xml:space="preserve">Year-end to early next year</t>
  </si>
  <si>
    <t xml:space="preserve">LTA terms disclosed</t>
  </si>
  <si>
    <t xml:space="preserve">Level of prepayments, penalties and floor prices</t>
  </si>
  <si>
    <t xml:space="preserve">Strong terms would validate the Nomura discount rate argument</t>
  </si>
  <si>
    <t xml:space="preserve">Weak terms would kill the case for a lower cost of equity</t>
  </si>
  <si>
    <t xml:space="preserve">Stage 3 — Micron-Specific Factors (how it differs from the Korean names)</t>
  </si>
  <si>
    <t xml:space="preserve">The drawdown is shallower</t>
  </si>
  <si>
    <t xml:space="preserve">Micron is down about 34% from its peak versus KOSPI at -44% and Samsung at -50%. Falling less in the same cycle means more room below.</t>
  </si>
  <si>
    <t xml:space="preserve">It has just broken the 200-day line</t>
  </si>
  <si>
    <t xml:space="preserve">Broke below the 200-day EMA and the $803.95 support on Jul 29, with no meaningful support beneath. The 200-day simple moving average sits near $506.</t>
  </si>
  <si>
    <t xml:space="preserve">Not unrelated to the Korean leveraged ETFs</t>
  </si>
  <si>
    <t xml:space="preserve">Peter Kim of KB Securities: forced liquidation is running across Korea, the US, Hong Kong and the UK. A single-stock 2x Micron ETF exists in the US too.</t>
  </si>
  <si>
    <t xml:space="preserve">The HBM weighting is different</t>
  </si>
  <si>
    <t xml:space="preserve">Micron revenue splits 53% commodity DRAM, 23% HBM and 24% NAND. Direct CXMT competition sits in the 53%.</t>
  </si>
  <si>
    <t xml:space="preserve">It has its own catalysts</t>
  </si>
  <si>
    <t xml:space="preserve">The CHIPS restriction lifting on Dec 9 and FY26 Q4 results in late September - dates the Korean names do not have.</t>
  </si>
  <si>
    <t xml:space="preserve">Volatility is high</t>
  </si>
  <si>
    <t xml:space="preserve">ATR(14) of 79.67 equals 9.5% of the share price, with a beta of 2.20. Position size is the risk.</t>
  </si>
  <si>
    <t xml:space="preserve">Stage 4 — Update Rules (set in advance)</t>
  </si>
  <si>
    <t xml:space="preserve">1. When the stage 1 indicators show liquidation has ended, resume the valuation discussion. Until then, do not argue about price.</t>
  </si>
  <si>
    <t xml:space="preserve">2. If ASP to cloud providers keeps rising at the late-September results, raise the ConsensusValuation achievement rate to 85-100%.</t>
  </si>
  <si>
    <t xml:space="preserve">3. If Micron also misses consensus for the same reason as SK hynix, cut the achievement rate to 50-60% and reallocate scenario probabilities.</t>
  </si>
  <si>
    <t xml:space="preserve">4. If the Dec 9 buyback announcement is absent or small, treat the case for a lower cost of equity as dead and apply 18% or more rather than 15%.</t>
  </si>
  <si>
    <t xml:space="preserve">5. Under no circumstances put the target multiple and the achievement rate on the optimistic side at the same time. One of the two must use the historical median.</t>
  </si>
  <si>
    <t xml:space="preserve">6. Decide on adding to the position only after stage 1 confirms liquidation has ended. Adding before that is a directional bet, not a valuation judgment.</t>
  </si>
  <si>
    <t xml:space="preserve">Note: Record the date checked and the observed value in the yellow log column. When conviction wavers later, the reasoning can be retraced.</t>
  </si>
  <si>
    <t xml:space="preserve">Note: This file is not investment advice. It is a tool for organizing the basis of a judgment.</t>
  </si>
  <si>
    <t xml:space="preserve">Added 2026-07-30 — New Events and Data to Track</t>
  </si>
  <si>
    <t xml:space="preserve">Item to check</t>
  </si>
  <si>
    <t xml:space="preserve">2026-08-21</t>
  </si>
  <si>
    <t xml:space="preserve">[*] Apple deadline to reply to the Senate letter</t>
  </si>
  <si>
    <t xml:space="preserve">Whether Apple formally commits not to adopt CXMT or YMTC memory, plus disclosures on IP transfer, component qualification status, and any request to prioritize Korean and US suppliers</t>
  </si>
  <si>
    <t xml:space="preserve">An Apple commitment not to adopt would give commodity DRAM, 53% of Micron revenue, a political shield</t>
  </si>
  <si>
    <t xml:space="preserve">Apple avoiding a firm answer would confirm CXMT qualification is progressing, opening the door globally</t>
  </si>
  <si>
    <t xml:space="preserve">Quarterly</t>
  </si>
  <si>
    <t xml:space="preserve">Microsoft Azure growth rate</t>
  </si>
  <si>
    <t xml:space="preserve">FY26 Q4 at +43%, the highest since early 2022, with roughly +45% guided for the next quarter</t>
  </si>
  <si>
    <t xml:space="preserve">Holding above 45% means memory demand is firm</t>
  </si>
  <si>
    <t xml:space="preserve">Slowing below 40%</t>
  </si>
  <si>
    <t xml:space="preserve">Microsoft underlying capex</t>
  </si>
  <si>
    <t xml:space="preserve">Accounting changes - useful life from 15 to 25 years and finance to operating leases - cut the headline from $190B to $175B while actual investment plans are unchanged</t>
  </si>
  <si>
    <t xml:space="preserve">Confirming FY2027 capex rises year over year</t>
  </si>
  <si>
    <t xml:space="preserve">The shift to operating leases makes this harder to track - reading only the headline leads to the wrong conclusion</t>
  </si>
  <si>
    <t xml:space="preserve">Q4 2026 onward</t>
  </si>
  <si>
    <t xml:space="preserve">[*] Meta 2027 capex guidance</t>
  </si>
  <si>
    <t xml:space="preserve">Not yet provided. Compute is maximized through 2026-27, while chip and server spend from 2028 will depend on actual demand and supply chains.</t>
  </si>
  <si>
    <t xml:space="preserve">2027 guidance issued and raised</t>
  </si>
  <si>
    <t xml:space="preserve">Continued reticence on spending from 2028 would weaken the terminal assumptions</t>
  </si>
  <si>
    <t xml:space="preserve">Ongoing</t>
  </si>
  <si>
    <t xml:space="preserve">SK hynix 2026 capex</t>
  </si>
  <si>
    <t xml:space="preserve">Raised to at least $31B, up 50% year over year, covering the pulled-forward M15X, Yongin phase one, P&amp;T7 and M17</t>
  </si>
  <si>
    <t xml:space="preserve">No further increase, with discipline reaffirmed</t>
  </si>
  <si>
    <t xml:space="preserve">A further increase would add FY2028-29 supply and impair terminal ROE</t>
  </si>
  <si>
    <t xml:space="preserve">One irony: the Senate letter worries about an influx of cheap Chinese memory, yet CXMT currently sells above Samsung and SK hynix. The political framing lags commercial reality.</t>
  </si>
  <si>
    <t xml:space="preserve">Note: Many signatories represent New York, Indiana and Idaho - states hosting $250B of Micron investment and roughly $4B from SK hynix. Security logic is reinforced by local economic interest, which gives it staying power.</t>
  </si>
  <si>
    <t xml:space="preserve">Assumptions and Inputs</t>
  </si>
  <si>
    <t xml:space="preserve">Item</t>
  </si>
  <si>
    <t xml:space="preserve">Value</t>
  </si>
  <si>
    <t xml:space="preserve">Unit</t>
  </si>
  <si>
    <t xml:space="preserve">Source / Note</t>
  </si>
  <si>
    <t xml:space="preserve">Market Data</t>
  </si>
  <si>
    <t xml:space="preserve">Current share price</t>
  </si>
  <si>
    <t xml:space="preserve">USD</t>
  </si>
  <si>
    <t xml:space="preserve">User-specified, 2026-07-31. Updated from $739 (the Jul 30 low).</t>
  </si>
  <si>
    <t xml:space="preserve">Shares outstanding</t>
  </si>
  <si>
    <t xml:space="preserve">millions of shares</t>
  </si>
  <si>
    <t xml:space="preserve">stockanalysis.com, 2026-07-28</t>
  </si>
  <si>
    <t xml:space="preserve">Current BVPS (TTM)</t>
  </si>
  <si>
    <t xml:space="preserve">stockanalysis.com - equity $100.72B / 1.13B shares</t>
  </si>
  <si>
    <t xml:space="preserve">Net cash</t>
  </si>
  <si>
    <t xml:space="preserve">USD millions</t>
  </si>
  <si>
    <t xml:space="preserve">Cash $26.02B less total debt $6.38B</t>
  </si>
  <si>
    <t xml:space="preserve">Market capitalization</t>
  </si>
  <si>
    <t xml:space="preserve">Price x shares outstanding</t>
  </si>
  <si>
    <t xml:space="preserve">Current P/B</t>
  </si>
  <si>
    <t xml:space="preserve">x</t>
  </si>
  <si>
    <t xml:space="preserve">Price / BVPS (note: actual range 10.09-10.32x)</t>
  </si>
  <si>
    <t xml:space="preserve">Cost of Equity</t>
  </si>
  <si>
    <t xml:space="preserve">Risk-free rate (Rf)</t>
  </si>
  <si>
    <t xml:space="preserve">%</t>
  </si>
  <si>
    <t xml:space="preserve">Approximate US 10-year yield - verify and update directly</t>
  </si>
  <si>
    <t xml:space="preserve">Beta (5Y)</t>
  </si>
  <si>
    <t xml:space="preserve">-</t>
  </si>
  <si>
    <t xml:space="preserve">Finviz, 2026-07-28</t>
  </si>
  <si>
    <t xml:space="preserve">Equity risk premium (ERP)</t>
  </si>
  <si>
    <t xml:space="preserve">Typically 4.5-5.5%</t>
  </si>
  <si>
    <t xml:space="preserve">Cost of equity (COE)</t>
  </si>
  <si>
    <t xml:space="preserve">Rf + beta x ERP (CAPM)</t>
  </si>
  <si>
    <t xml:space="preserve">Earnings Data</t>
  </si>
  <si>
    <t xml:space="preserve">TTM revenue</t>
  </si>
  <si>
    <t xml:space="preserve">stockanalysis.com, TTM(May '26)</t>
  </si>
  <si>
    <t xml:space="preserve">TTM net income</t>
  </si>
  <si>
    <t xml:space="preserve">TTM EPS</t>
  </si>
  <si>
    <t xml:space="preserve">stockanalysis.com</t>
  </si>
  <si>
    <t xml:space="preserve">TTM net margin</t>
  </si>
  <si>
    <t xml:space="preserve">Net income / revenue - an all-time high</t>
  </si>
  <si>
    <t xml:space="preserve">TTM ROE</t>
  </si>
  <si>
    <t xml:space="preserve">Net income / total equity</t>
  </si>
  <si>
    <t xml:space="preserve">Next-year EPS consensus</t>
  </si>
  <si>
    <t xml:space="preserve">Finviz "EPS next Y", 45-analyst consensus - needs verification</t>
  </si>
  <si>
    <t xml:space="preserve">BVPS one year forward</t>
  </si>
  <si>
    <t xml:space="preserve">Current BVPS plus next-year EPS less the $0.60 dividend. Buyback effects ignored.</t>
  </si>
  <si>
    <t xml:space="preserve">FY2028 consensus BPS</t>
  </si>
  <si>
    <t xml:space="preserve">Analyst consensus median (12 estimates)</t>
  </si>
  <si>
    <t xml:space="preserve">[*] Model Levers — Edit Here</t>
  </si>
  <si>
    <t xml:space="preserve">Sustainable ROE</t>
  </si>
  <si>
    <t xml:space="preserve">[*] Assumed through-cycle average ROE. Actual five-year range: -12% to 19%.</t>
  </si>
  <si>
    <t xml:space="preserve">Perpetual growth rate (g)</t>
  </si>
  <si>
    <t xml:space="preserve">[*] Must stay below the cost of equity (see B16)</t>
  </si>
  <si>
    <t xml:space="preserve">Normalized revenue</t>
  </si>
  <si>
    <t xml:space="preserve">[*] Assumed mid-cycle revenue. FY25 $37.4B, TTM $90.3B.</t>
  </si>
  <si>
    <t xml:space="preserve">Normalized net margin</t>
  </si>
  <si>
    <t xml:space="preserve">[*] Mid-cycle margin. Five-year range: -37.6% to 28.2%.</t>
  </si>
  <si>
    <t xml:space="preserve">Normalized target P/E</t>
  </si>
  <si>
    <t xml:space="preserve">[*] Multiple applied to normalized earnings. Semiconductors typically 12-18x.</t>
  </si>
  <si>
    <t xml:space="preserve">BVPS basis (1 = current, 2 = one year forward, 3 = FY2028)</t>
  </si>
  <si>
    <t xml:space="preserve">[*] 1 = current $89, 2 = one year forward, 3 = FY2028 consensus $438</t>
  </si>
  <si>
    <t xml:space="preserve">Selected BVPS</t>
  </si>
  <si>
    <t xml:space="preserve">Set automatically by the choice above</t>
  </si>
  <si>
    <t xml:space="preserve">Warning: If COE is less than or equal to g, the justified P/B formula breaks down. Keep g comfortably below COE.</t>
  </si>
  <si>
    <t xml:space="preserve">Note: The default is 3 (FY2028 consensus). Comparing against 1 (current BVPS) shows immediately how much the reference date flips the conclusion.</t>
  </si>
  <si>
    <t xml:space="preserve">Current Results and Valuation (as of 2026-07-28)</t>
  </si>
  <si>
    <t xml:space="preserve">Note</t>
  </si>
  <si>
    <t xml:space="preserve">Share Price and Market Cap</t>
  </si>
  <si>
    <t xml:space="preserve">Share price</t>
  </si>
  <si>
    <t xml:space="preserve">2026-07-30, -9.94%, volume 67.69m shares</t>
  </si>
  <si>
    <t xml:space="preserve">52-week high</t>
  </si>
  <si>
    <t xml:space="preserve">Finviz</t>
  </si>
  <si>
    <t xml:space="preserve">52-week low</t>
  </si>
  <si>
    <t xml:space="preserve">vs 52-week high</t>
  </si>
  <si>
    <t xml:space="preserve">Current drawdown - prior cycles ran -50% to -73%</t>
  </si>
  <si>
    <t xml:space="preserve">Valuation Multiples</t>
  </si>
  <si>
    <t xml:space="preserve">P/E (TTM)</t>
  </si>
  <si>
    <t xml:space="preserve">Finviz - beware the illusion of a low P/E at the cycle peak</t>
  </si>
  <si>
    <t xml:space="preserve">Forward P/E</t>
  </si>
  <si>
    <t xml:space="preserve">838.05 / EPS next Y 154.67</t>
  </si>
  <si>
    <t xml:space="preserve">P/B</t>
  </si>
  <si>
    <t xml:space="preserve">Extreme versus the five-year band of 1.26-2.53x</t>
  </si>
  <si>
    <t xml:space="preserve">P/S</t>
  </si>
  <si>
    <t xml:space="preserve">Five-year band 2.04-4.94x</t>
  </si>
  <si>
    <t xml:space="preserve">EV/EBITDA</t>
  </si>
  <si>
    <t xml:space="preserve">Five-year band 3.62-40.3x</t>
  </si>
  <si>
    <t xml:space="preserve">PEG</t>
  </si>
  <si>
    <t xml:space="preserve">Profitability (TTM)</t>
  </si>
  <si>
    <t xml:space="preserve">Revenue</t>
  </si>
  <si>
    <t xml:space="preserve">+167% year over year</t>
  </si>
  <si>
    <t xml:space="preserve">Net income</t>
  </si>
  <si>
    <t xml:space="preserve">Net margin 55.9% - more than half of revenue drops to net income</t>
  </si>
  <si>
    <t xml:space="preserve">Gross margin</t>
  </si>
  <si>
    <t xml:space="preserve">Up sharply from 39.8% in FY25</t>
  </si>
  <si>
    <t xml:space="preserve">Operating margin</t>
  </si>
  <si>
    <t xml:space="preserve">FY25 26.1%</t>
  </si>
  <si>
    <t xml:space="preserve">Net margin</t>
  </si>
  <si>
    <t xml:space="preserve">[*] All-time high. Prior peak was 28.2% in FY22.</t>
  </si>
  <si>
    <t xml:space="preserve">ROE</t>
  </si>
  <si>
    <t xml:space="preserve">[*] Five-year average was 7.8%</t>
  </si>
  <si>
    <t xml:space="preserve">ROIC</t>
  </si>
  <si>
    <t xml:space="preserve">Balance Sheet</t>
  </si>
  <si>
    <t xml:space="preserve">Debt to equity</t>
  </si>
  <si>
    <t xml:space="preserve">Effectively debt-free - financial risk is low</t>
  </si>
  <si>
    <t xml:space="preserve">Current ratio</t>
  </si>
  <si>
    <t xml:space="preserve">Current assets / current liabilities - short-term liquidity is very strong</t>
  </si>
  <si>
    <t xml:space="preserve">Cash $26.0B less debt $6.4B</t>
  </si>
  <si>
    <t xml:space="preserve">Free cash flow</t>
  </si>
  <si>
    <t xml:space="preserve">Operating cash flow $51.4B less capex $25.3B</t>
  </si>
  <si>
    <t xml:space="preserve">Analyst target price</t>
  </si>
  <si>
    <t xml:space="preserve">45-analyst average, consensus rating Strong Buy</t>
  </si>
  <si>
    <t xml:space="preserve">Upside to target price</t>
  </si>
  <si>
    <t xml:space="preserve">Warning: target prices lag the share price (see notes)</t>
  </si>
  <si>
    <t xml:space="preserve">Finviz 'EPS next Y'</t>
  </si>
  <si>
    <t xml:space="preserve">Sources: Finviz (2026-07-28), stockanalysis.com / Fiscal.ai (2026-07-28)</t>
  </si>
  <si>
    <t xml:space="preserve">Historical Cycle — Results and Valuation Trend</t>
  </si>
  <si>
    <t xml:space="preserve">Annual results (fiscal year Sep-Aug, USD millions)</t>
  </si>
  <si>
    <t xml:space="preserve">FY2021</t>
  </si>
  <si>
    <t xml:space="preserve">FY2022</t>
  </si>
  <si>
    <t xml:space="preserve">FY2023</t>
  </si>
  <si>
    <t xml:space="preserve">FY2024</t>
  </si>
  <si>
    <t xml:space="preserve">FY2025</t>
  </si>
  <si>
    <t xml:space="preserve">TTM 2026</t>
  </si>
  <si>
    <t xml:space="preserve">5Y average (FY21-25)</t>
  </si>
  <si>
    <t xml:space="preserve">EPS</t>
  </si>
  <si>
    <t xml:space="preserve">Valuation multiples (at each fiscal year end)</t>
  </si>
  <si>
    <t xml:space="preserve">Year-end share price</t>
  </si>
  <si>
    <t xml:space="preserve">P/E</t>
  </si>
  <si>
    <t xml:space="preserve">Loss</t>
  </si>
  <si>
    <t xml:space="preserve">Note: The five-year average P/E excludes the loss-making FY2023 (AVERAGE skips text).</t>
  </si>
  <si>
    <t xml:space="preserve">P/B stayed within a 1.26-2.53x band across FY21-FY25. The current 9.39x is roughly four to seven times that band.</t>
  </si>
  <si>
    <t xml:space="preserve">The TTM net margin of 55.9% is double the prior peak of 28.2% in FY22. Whether that margin holds is the whole valuation question.</t>
  </si>
  <si>
    <t xml:space="preserve">Historical maximum drawdowns — reference</t>
  </si>
  <si>
    <t xml:space="preserve">Cycle</t>
  </si>
  <si>
    <t xml:space="preserve">Drawdown (approx.)</t>
  </si>
  <si>
    <t xml:space="preserve">2000-2002 dot-com and DRAM collapse</t>
  </si>
  <si>
    <t xml:space="preserve">Took over ten years to recover</t>
  </si>
  <si>
    <t xml:space="preserve">2007-2008 financial crisis</t>
  </si>
  <si>
    <t xml:space="preserve">Roughly thirteen years to recover (the worst on record)</t>
  </si>
  <si>
    <t xml:space="preserve">2014~2016</t>
  </si>
  <si>
    <t xml:space="preserve">Pure cycle with no macro shock</t>
  </si>
  <si>
    <t xml:space="preserve">2018</t>
  </si>
  <si>
    <t xml:space="preserve">Occurred at a trailing P/E of 3-4x, amid a rush of target price upgrades</t>
  </si>
  <si>
    <t xml:space="preserve">2021~2022</t>
  </si>
  <si>
    <t xml:space="preserve">Immediately after a record revenue print</t>
  </si>
  <si>
    <t xml:space="preserve">2024~2025</t>
  </si>
  <si>
    <t xml:space="preserve">Immediately after the sold-out HBM announcement</t>
  </si>
  <si>
    <t xml:space="preserve">2026 to date (ongoing)</t>
  </si>
  <si>
    <t xml:space="preserve">Occurred before spot prices had even started falling</t>
  </si>
  <si>
    <t xml:space="preserve">Drawdowns are approximate and based on closing prices; figures vary by data source. Sources: Trefis, stockanalysis.com price history.</t>
  </si>
  <si>
    <t xml:space="preserve">Results data sources: stockanalysis.com / Fiscal.ai (retrieved 2026-07-28), Micron 10-K</t>
  </si>
  <si>
    <t xml:space="preserve">(1) P/B x ROE Model — Justified P/B = (ROE - g) / (COE - g)</t>
  </si>
  <si>
    <t xml:space="preserve">Inputs (linked automatically from the Assumptions tab)</t>
  </si>
  <si>
    <t xml:space="preserve">Applied BVPS</t>
  </si>
  <si>
    <t xml:space="preserve">BVPS basis</t>
  </si>
  <si>
    <t xml:space="preserve">Assumed sustainable ROE</t>
  </si>
  <si>
    <t xml:space="preserve">Perpetual growth rate g</t>
  </si>
  <si>
    <t xml:space="preserve">Base case result</t>
  </si>
  <si>
    <t xml:space="preserve">Justified P/B</t>
  </si>
  <si>
    <t xml:space="preserve">Implied share price</t>
  </si>
  <si>
    <t xml:space="preserve">vs current price</t>
  </si>
  <si>
    <t xml:space="preserve">Sensitivity — implied price (rows: sustainable ROE / columns: perpetual growth g)</t>
  </si>
  <si>
    <t xml:space="preserve">ROE \ g</t>
  </si>
  <si>
    <t xml:space="preserve">Find the cell closest to the current price - that ROE is what the market is assuming.</t>
  </si>
  <si>
    <t xml:space="preserve">Back-solve — the sustainable ROE implied by the current price</t>
  </si>
  <si>
    <t xml:space="preserve">Formula: ROE = (price / BVPS) x (COE - g) + g</t>
  </si>
  <si>
    <t xml:space="preserve">Implied ROE</t>
  </si>
  <si>
    <t xml:space="preserve">Interpretation</t>
  </si>
  <si>
    <t xml:space="preserve">Conservative growth assumption</t>
  </si>
  <si>
    <t xml:space="preserve">Conservative to neutral</t>
  </si>
  <si>
    <t xml:space="preserve">In line with market growth</t>
  </si>
  <si>
    <t xml:space="preserve">Neutral to aggressive</t>
  </si>
  <si>
    <t xml:space="preserve">Aggressive growth assumption</t>
  </si>
  <si>
    <t xml:space="preserve">Very aggressive assumption</t>
  </si>
  <si>
    <t xml:space="preserve">Note: Micron actual ROE over the past five years ranged from -12.4% to 18.5%, averaging 7.8% (see HistoricalCycle).</t>
  </si>
  <si>
    <t xml:space="preserve">Note: Using current BVPS is harsh while equity is compounding fast. Set Assumptions B33 to 2 to view the one-year-forward BVPS basis alongside.</t>
  </si>
  <si>
    <t xml:space="preserve">Note: Toggle Assumptions B33 between 1 and 3. On the same ROE assumption, the implied price shifts by nearly fivefold depending on the BPS basis.</t>
  </si>
  <si>
    <t xml:space="preserve">Note: Consensus FY2028 ROE median is 44.9% with a low of 24.3%; FY2029 median is 29.6% (Consensus rows 27-29).</t>
  </si>
  <si>
    <t xml:space="preserve">(2) Normalized Earnings Model — Fair Value on Mid-Cycle Margins</t>
  </si>
  <si>
    <t xml:space="preserve">Why This Method Is Needed</t>
  </si>
  <si>
    <t xml:space="preserve">The current 55.9% net margin is an all-time high and double the prior peak of 28.2% in FY22. Applying a multiple to EPS built on</t>
  </si>
  <si>
    <t xml:space="preserve">that margin capitalizes peak-cycle earnings in perpetuity. Normalizing corrects for this.</t>
  </si>
  <si>
    <t xml:space="preserve">Calculation (inputs linked from the Assumptions tab)</t>
  </si>
  <si>
    <t xml:space="preserve">Normalized revenue (USD millions)</t>
  </si>
  <si>
    <t xml:space="preserve">[*] Edit on Assumptions B30</t>
  </si>
  <si>
    <t xml:space="preserve">[*] Edit on Assumptions B31</t>
  </si>
  <si>
    <t xml:space="preserve">Normalized net income</t>
  </si>
  <si>
    <t xml:space="preserve">Revenue x margin</t>
  </si>
  <si>
    <t xml:space="preserve">Shares outstanding (millions)</t>
  </si>
  <si>
    <t xml:space="preserve">Normalized EPS</t>
  </si>
  <si>
    <t xml:space="preserve">Net income / shares outstanding</t>
  </si>
  <si>
    <t xml:space="preserve">[*] Edit on Assumptions B32</t>
  </si>
  <si>
    <t xml:space="preserve">Business value per share</t>
  </si>
  <si>
    <t xml:space="preserve">Normalized EPS x target multiple</t>
  </si>
  <si>
    <t xml:space="preserve">Plus net cash per share</t>
  </si>
  <si>
    <t xml:space="preserve">Net cash $23.75B across 1.13B shares (value of the debt-free position)</t>
  </si>
  <si>
    <t xml:space="preserve">Implied share price (total)</t>
  </si>
  <si>
    <t xml:space="preserve">Business value plus net cash</t>
  </si>
  <si>
    <t xml:space="preserve">Finviz 2026-07-28</t>
  </si>
  <si>
    <t xml:space="preserve">Reference: historical range (basis for the normalization assumptions)</t>
  </si>
  <si>
    <t xml:space="preserve">FY21-25 average</t>
  </si>
  <si>
    <t xml:space="preserve">Revenue (USD millions)</t>
  </si>
  <si>
    <t xml:space="preserve">Note: The FY21-25 average net margin is about 7.5%, including the large FY23 loss. Excluding loss years it is roughly 18.8%.</t>
  </si>
  <si>
    <t xml:space="preserve">Sensitivity — implied price (rows: normalized net margin / columns: target P/E, net cash per share included)</t>
  </si>
  <si>
    <t xml:space="preserve">Net margin \ P/E</t>
  </si>
  <si>
    <t xml:space="preserve">Note: The grid above holds normalized revenue (Assumptions B30) fixed. Changing the revenue assumption shifts the entire table.</t>
  </si>
  <si>
    <t xml:space="preserve">Note: This method tends to produce very low values. Understand the two reasons before using it:</t>
  </si>
  <si>
    <t xml:space="preserve">  (1) It ignores the cash the company earns on the way to normalization - the Scenarios tab corrects for this.</t>
  </si>
  <si>
    <t xml:space="preserve">  (2) If HBM has structurally raised margins, the normalized margin itself should be set above the historical level.</t>
  </si>
  <si>
    <t xml:space="preserve">(3) Probability-Weighted Scenario Value (valued two to three years forward)</t>
  </si>
  <si>
    <t xml:space="preserve">Scenario definitions — edit the blue cells freely (values below are illustrative defaults)</t>
  </si>
  <si>
    <t xml:space="preserve">Core logic</t>
  </si>
  <si>
    <t xml:space="preserve">Normalized revenue
($m)</t>
  </si>
  <si>
    <t xml:space="preserve">Target P/E</t>
  </si>
  <si>
    <t xml:space="preserve">Business value</t>
  </si>
  <si>
    <t xml:space="preserve">Cumulative FCF
(per share)</t>
  </si>
  <si>
    <t xml:space="preserve">Implied price</t>
  </si>
  <si>
    <t xml:space="preserve">Probability</t>
  </si>
  <si>
    <t xml:space="preserve">Bull</t>
  </si>
  <si>
    <t xml:space="preserve">Spot +15%, HBM contract price +35% — repricing succeeds</t>
  </si>
  <si>
    <t xml:space="preserve">Base</t>
  </si>
  <si>
    <t xml:space="preserve">TrendForce and consensus baseline (spot and contract both at 100%)</t>
  </si>
  <si>
    <t xml:space="preserve">Bear</t>
  </si>
  <si>
    <t xml:space="preserve">Spot -65%, HBM contract price -40% — the 2026 surge unwinds</t>
  </si>
  <si>
    <t xml:space="preserve">Probability total</t>
  </si>
  <si>
    <t xml:space="preserve">Note: Cumulative FCF per share is the free cash the company accumulates before the valuation date. Cyclicals earn substantial cash on the way to normalization, so it must be added. Current FCF runs about $23 per share per year.</t>
  </si>
  <si>
    <t xml:space="preserve">Results</t>
  </si>
  <si>
    <t xml:space="preserve">Probability-weighted expected price</t>
  </si>
  <si>
    <t xml:space="preserve">Sum of each scenario price times its probability</t>
  </si>
  <si>
    <t xml:space="preserve">Expected return</t>
  </si>
  <si>
    <t xml:space="preserve">Expected price / current price - 1</t>
  </si>
  <si>
    <t xml:space="preserve">Upside in the bull case</t>
  </si>
  <si>
    <t xml:space="preserve">Downside in the bear case</t>
  </si>
  <si>
    <t xml:space="preserve">Payoff asymmetry</t>
  </si>
  <si>
    <t xml:space="preserve">Above 1 means upside exceeds downside</t>
  </si>
  <si>
    <t xml:space="preserve">Probability implied by the current price
(on the bull case)</t>
  </si>
  <si>
    <t xml:space="preserve">The current price requires assigning roughly this probability to the bull case (a two-state bull/bear approximation)</t>
  </si>
  <si>
    <t xml:space="preserve">The Variables That Actually Decide the Scenario</t>
  </si>
  <si>
    <t xml:space="preserve">1. Capacity calendar of the top three</t>
  </si>
  <si>
    <t xml:space="preserve">Timing of Samsung P4/P5 and SK hynix M15X coming online - the point where supply growth overtakes demand growth of roughly 36%</t>
  </si>
  <si>
    <t xml:space="preserve">2. HBM4 annual contract price</t>
  </si>
  <si>
    <t xml:space="preserve">The negotiation outcome around year-end. HBM has no spot market, so this is the only price signal.</t>
  </si>
  <si>
    <t xml:space="preserve">3. Customer inventory days</t>
  </si>
  <si>
    <t xml:space="preserve">When hyperscalers stop pre-buying. This leads the capex headlines.</t>
  </si>
  <si>
    <t xml:space="preserve">Note: The revenue, margin, multiple, cumulative FCF and probability figures above are illustrative defaults. Replace them with your own judgment.</t>
  </si>
  <si>
    <t xml:space="preserve">Note: This file is not investment advice. It is a template for learning valuation methodology.</t>
  </si>
  <si>
    <t xml:space="preserve">Note: Defaults were rescaled to the consensus level (bull = FY2028 consensus median, base = consensus low, bear = oversupply).</t>
  </si>
  <si>
    <t xml:space="preserve">Note: Cumulative FCF approximates three years of per-share cash flow across FY2026-2028 (consensus CFPS of $74, $160 and $201, less capex).</t>
  </si>
  <si>
    <t xml:space="preserve">(16) Derivation Block — Spot DRAM Price Drives the Scenarios (rewritten 2026-07-31)</t>
  </si>
  <si>
    <t xml:space="preserve">The driver is the commodity DRAM spot ASP. HBM is contracted and moves separately and more slowly. The ASP premium, revenue, mix and margins are all derived here rather than entered by hand.</t>
  </si>
  <si>
    <t xml:space="preserve">Baseline (TrendForce and consensus = 100%)</t>
  </si>
  <si>
    <t xml:space="preserve">  FY2028 HBM bit share</t>
  </si>
  <si>
    <t xml:space="preserve">Physical layer, independent of price</t>
  </si>
  <si>
    <t xml:space="preserve">  FY2028 DRAM revenue share</t>
  </si>
  <si>
    <t xml:space="preserve">  Base ASP premium (FY2026 actual)</t>
  </si>
  <si>
    <t xml:space="preserve">4.39x, back-solved from Micron actuals</t>
  </si>
  <si>
    <t xml:space="preserve">  Base commodity DRAM OPM</t>
  </si>
  <si>
    <t xml:space="preserve">⑬ FY2028</t>
  </si>
  <si>
    <t xml:space="preserve">  Base HBM OPM</t>
  </si>
  <si>
    <t xml:space="preserve">  Base NAND OPM</t>
  </si>
  <si>
    <t xml:space="preserve">  Consensus FY2028 revenue ($m)</t>
  </si>
  <si>
    <t xml:space="preserve">Embeds the TrendForce spot price assumption</t>
  </si>
  <si>
    <t xml:space="preserve">  Effective tax rate</t>
  </si>
  <si>
    <t xml:space="preserve">  Shares outstanding (millions)</t>
  </si>
  <si>
    <t xml:space="preserve">[*] Scenario definitions — adjust only the price indices</t>
  </si>
  <si>
    <t xml:space="preserve">Basis</t>
  </si>
  <si>
    <t xml:space="preserve">[*] Commodity spot ASP index</t>
  </si>
  <si>
    <t xml:space="preserve">[*] HBM contract ASP index</t>
  </si>
  <si>
    <t xml:space="preserve">[*] NAND ASP index</t>
  </si>
  <si>
    <t xml:space="preserve">Character</t>
  </si>
  <si>
    <t xml:space="preserve">Spot holds firm and HBM4 contract repricing succeeds (Goldman +44-50%)</t>
  </si>
  <si>
    <t xml:space="preserve">TrendForce and consensus baseline, unchanged</t>
  </si>
  <si>
    <t xml:space="preserve">Spot -65% (unwinding the 2026 surge) with HBM contract prices renegotiated -40%</t>
  </si>
  <si>
    <t xml:space="preserve">Derived Results</t>
  </si>
  <si>
    <t xml:space="preserve">Derived premium</t>
  </si>
  <si>
    <t xml:space="preserve">HBM revenue share</t>
  </si>
  <si>
    <t xml:space="preserve">Commodity revenue share</t>
  </si>
  <si>
    <t xml:space="preserve">Revenue index</t>
  </si>
  <si>
    <t xml:space="preserve">Revenue ($m)</t>
  </si>
  <si>
    <t xml:space="preserve">Commodity OPM</t>
  </si>
  <si>
    <t xml:space="preserve">HBM OPM</t>
  </si>
  <si>
    <t xml:space="preserve">Blended EBIT</t>
  </si>
  <si>
    <t xml:space="preserve">Note: OPM = 1 - (1 - base OPM) / ASP index. Under a fixed-cost structure unit cost is unchanged, so the ASP decline cuts straight into margin.</t>
  </si>
  <si>
    <t xml:space="preserve">Note: From a base OPM of 78%, spot must fall 65% to bring OPM down to 37%. A decline of 80% flips the segment into a loss, on the scale of FY2023.</t>
  </si>
  <si>
    <t xml:space="preserve">Note: [*] The derived premium in column B is an output. When spot falls, the contracted HBM price becomes relatively expensive, the premium rises, and the HBM revenue share expands automatically.</t>
  </si>
  <si>
    <t xml:space="preserve">Note: This is the mechanical substance of contracts providing downside support - in a downturn the HBM share grows and cushions the fall in blended margin.</t>
  </si>
  <si>
    <t xml:space="preserve">Note: The TrendForce DRAM revenue forecast of $903B for 2027 is a central estimate, not a ceiling. A spot index of 1.0 marks that baseline; the downside runs below it.</t>
  </si>
  <si>
    <t xml:space="preserve">Note: Target P/E, cumulative FCF and probability remain manual because they are judgment. To change a scenario, adjust only the price indices in rows 48-50.</t>
  </si>
  <si>
    <t xml:space="preserve">Analyst Consensus Estimates (FY2025 actual to FY2029E)</t>
  </si>
  <si>
    <t xml:space="preserve">Fiscal year runs Sep-Aug. Units in USD millions (per-share figures in USD). Source: consensus screen supplied by the user, retrieved 2026-07-28.</t>
  </si>
  <si>
    <t xml:space="preserve">Income Statement — Median Estimates</t>
  </si>
  <si>
    <t xml:space="preserve">FY2025(A)</t>
  </si>
  <si>
    <t xml:space="preserve">FY2026(E)</t>
  </si>
  <si>
    <t xml:space="preserve">FY2027(E)</t>
  </si>
  <si>
    <t xml:space="preserve">FY2028(E)</t>
  </si>
  <si>
    <t xml:space="preserve">FY2029(E)</t>
  </si>
  <si>
    <t xml:space="preserve">Median</t>
  </si>
  <si>
    <t xml:space="preserve">Surges through FY27, then flattens in FY28-29</t>
  </si>
  <si>
    <t xml:space="preserve">Estimate count</t>
  </si>
  <si>
    <t xml:space="preserve">Only five estimates for FY29 - low confidence</t>
  </si>
  <si>
    <t xml:space="preserve">Gross profit</t>
  </si>
  <si>
    <t xml:space="preserve">  Gross margin</t>
  </si>
  <si>
    <t xml:space="preserve">An 86% gross margin in FY27 would be unprecedented in semiconductors</t>
  </si>
  <si>
    <t xml:space="preserve">EBIT</t>
  </si>
  <si>
    <t xml:space="preserve">  EBIT margin</t>
  </si>
  <si>
    <t xml:space="preserve">EBITDA</t>
  </si>
  <si>
    <t xml:space="preserve">  EBITDA margin</t>
  </si>
  <si>
    <t xml:space="preserve">Pretax income</t>
  </si>
  <si>
    <t xml:space="preserve">  Net margin</t>
  </si>
  <si>
    <t xml:space="preserve">[*] A 70.7% net margin in FY27 is an extreme assumption</t>
  </si>
  <si>
    <t xml:space="preserve">EPS (adjusted)</t>
  </si>
  <si>
    <t xml:space="preserve">[*] The core valuation input</t>
  </si>
  <si>
    <t xml:space="preserve">GAAP EPS</t>
  </si>
  <si>
    <t xml:space="preserve">Per-Share and Balance Sheet — Median Estimates</t>
  </si>
  <si>
    <t xml:space="preserve">BPS (book value per share)</t>
  </si>
  <si>
    <t xml:space="preserve">[*] The denominator in every P/B calculation</t>
  </si>
  <si>
    <t xml:space="preserve">FY28 has 12 estimates</t>
  </si>
  <si>
    <t xml:space="preserve">NAVPS (net asset value per share)</t>
  </si>
  <si>
    <t xml:space="preserve">Only one estimate - reference only</t>
  </si>
  <si>
    <t xml:space="preserve">[*] Consensus itself already assumes normalization</t>
  </si>
  <si>
    <t xml:space="preserve">  ROE low</t>
  </si>
  <si>
    <t xml:space="preserve">Approximates the bear case</t>
  </si>
  <si>
    <t xml:space="preserve">  ROE high</t>
  </si>
  <si>
    <t xml:space="preserve">ROA</t>
  </si>
  <si>
    <t xml:space="preserve">Net debt</t>
  </si>
  <si>
    <t xml:space="preserve">Negative means net cash. FY28 net cash of $266B.</t>
  </si>
  <si>
    <t xml:space="preserve">CAPEX</t>
  </si>
  <si>
    <t xml:space="preserve">Large capacity additions from FY27 - the seed of the next oversupply</t>
  </si>
  <si>
    <t xml:space="preserve">Cash flow per share (CFPS)</t>
  </si>
  <si>
    <t xml:space="preserve">Estimate Dispersion — How Much Confidence Does Consensus Deserve</t>
  </si>
  <si>
    <t xml:space="preserve">Revenue low</t>
  </si>
  <si>
    <t xml:space="preserve">Revenue median</t>
  </si>
  <si>
    <t xml:space="preserve">Revenue high</t>
  </si>
  <si>
    <t xml:space="preserve">EPS low</t>
  </si>
  <si>
    <t xml:space="preserve">EPS median</t>
  </si>
  <si>
    <t xml:space="preserve">EPS high</t>
  </si>
  <si>
    <t xml:space="preserve">BPS low</t>
  </si>
  <si>
    <t xml:space="preserve">BPS median</t>
  </si>
  <si>
    <t xml:space="preserve">BPS high</t>
  </si>
  <si>
    <t xml:space="preserve">Note: Estimate counts collapse from 45-47 for FY2026 to 26-31 for FY2028 and just 2-5 for FY2029. The further out you go, the more a handful of views drive the median.</t>
  </si>
  <si>
    <t xml:space="preserve">(4) Consensus-Based Valuation by Year (through FY2028)</t>
  </si>
  <si>
    <t xml:space="preserve">Reference Data</t>
  </si>
  <si>
    <t xml:space="preserve">Market capitalization (USD millions)</t>
  </si>
  <si>
    <t xml:space="preserve">Multiples from applying the current price to each year of consensus</t>
  </si>
  <si>
    <t xml:space="preserve">EPS (consensus median)</t>
  </si>
  <si>
    <t xml:space="preserve">BPS (consensus median)</t>
  </si>
  <si>
    <t xml:space="preserve">Net debt (negative = net cash)</t>
  </si>
  <si>
    <t xml:space="preserve">→ P/E</t>
  </si>
  <si>
    <t xml:space="preserve">Current price / EPS for each year</t>
  </si>
  <si>
    <t xml:space="preserve">→ P/B</t>
  </si>
  <si>
    <t xml:space="preserve">Current price / BPS for each year  [*] the forward P/B in question</t>
  </si>
  <si>
    <t xml:space="preserve">→ EV/EBITDA</t>
  </si>
  <si>
    <t xml:space="preserve">EV = market cap plus net debt (net cash is deducted)</t>
  </si>
  <si>
    <t xml:space="preserve">Taken at face value, consensus puts FY2028 P/B near 1.9x and P/E near 4.9x, which looks cheap. The section below tests that premise.</t>
  </si>
  <si>
    <t xml:space="preserve">[*] Consensus Achievement (Haircut) Adjustment — The Critical Input</t>
  </si>
  <si>
    <t xml:space="preserve">Memory consensus uses current DRAM prices as an input, so it structurally lags the cycle.</t>
  </si>
  <si>
    <t xml:space="preserve">Lower the achievement rate below and see how far the valuation holds. 100% means consensus in full.</t>
  </si>
  <si>
    <t xml:space="preserve">[*] Consensus achievement rate</t>
  </si>
  <si>
    <t xml:space="preserve">Linked to the average SegmentMargin achievement rate for FY2026-28, replacing the prior arbitrary 60%. Overwrite with a number to set it manually.</t>
  </si>
  <si>
    <t xml:space="preserve">FY2025 actual BPS</t>
  </si>
  <si>
    <t xml:space="preserve">Starting point - a confirmed actual</t>
  </si>
  <si>
    <t xml:space="preserve">Cumulative EPS FY26-28 (consensus)</t>
  </si>
  <si>
    <t xml:space="preserve">Sum of earnings per share over three years</t>
  </si>
  <si>
    <t xml:space="preserve">Adjusted FY2028 EPS</t>
  </si>
  <si>
    <t xml:space="preserve">Consensus EPS x achievement rate</t>
  </si>
  <si>
    <t xml:space="preserve">Adjusted FY2028 BPS</t>
  </si>
  <si>
    <t xml:space="preserve">FY25 BPS plus cumulative EPS x achievement rate (dividends ignored)</t>
  </si>
  <si>
    <t xml:space="preserve">Adjusted P/E</t>
  </si>
  <si>
    <t xml:space="preserve">Adjusted P/B</t>
  </si>
  <si>
    <t xml:space="preserve">Note: The achievement rate comes from the EBIT margin ratio. Since revenue is held at consensus, it approximates the earnings ratio. It applies to cumulative EPS in B26, so the FY2026-28 average is used.</t>
  </si>
  <si>
    <t xml:space="preserve">Applying Target Multiples — Implied Price</t>
  </si>
  <si>
    <t xml:space="preserve">[*] Normal multiple for a cyclical. Adjust within an 8-15x range.</t>
  </si>
  <si>
    <t xml:space="preserve">Implied price, P/E method</t>
  </si>
  <si>
    <t xml:space="preserve">Adjusted FY28 EPS x target P/E</t>
  </si>
  <si>
    <t xml:space="preserve">Target P/B</t>
  </si>
  <si>
    <t xml:space="preserve">[*] The five-year P/B band is 1.26-2.53x, averaging 1.95x</t>
  </si>
  <si>
    <t xml:space="preserve">Implied price, P/B method</t>
  </si>
  <si>
    <t xml:space="preserve">Adjusted FY28 BPS x target P/B</t>
  </si>
  <si>
    <t xml:space="preserve">Average of the two methods</t>
  </si>
  <si>
    <t xml:space="preserve">Sensitivity — implied price (rows: consensus achievement rate / columns: target P/B on FY2028 BPS)</t>
  </si>
  <si>
    <t xml:space="preserve">Achievement rate \ Target P/B</t>
  </si>
  <si>
    <t xml:space="preserve">Break-even Back-solve — What Justifies the Current Price</t>
  </si>
  <si>
    <t xml:space="preserve">Achievement rate required at a 2.0x target P/B</t>
  </si>
  <si>
    <t xml:space="preserve">Below this rate, the current price is expensive</t>
  </si>
  <si>
    <t xml:space="preserve">Achievement rate required at a 2.5x target P/B</t>
  </si>
  <si>
    <t xml:space="preserve">Target P/B required at a 100% achievement rate</t>
  </si>
  <si>
    <t xml:space="preserve">Even with consensus fully realized, this multiple is still required</t>
  </si>
  <si>
    <t xml:space="preserve">Target P/B required at a 60% achievement rate</t>
  </si>
  <si>
    <t xml:space="preserve">Note: Consensus net margins of 70.7% in FY2027 and 66.0% in FY2028 are exceptionally rare in manufacturing history. Do not leave the achievement rate at 100% by default.</t>
  </si>
  <si>
    <t xml:space="preserve">Note: At the same time, consensus already embeds capex rising from $27.7B in FY2026 to $48.0B in FY2028. That build-out is what causes the next oversupply.</t>
  </si>
  <si>
    <t xml:space="preserve">(5) Cross-Check of Seven Sell-Side Reports (15 May to 24 June 2026)</t>
  </si>
  <si>
    <t xml:space="preserve">Covers Nomura (May 15, Jun 24), BofA (May 29), Goldman memory (May 31), Morgan Stanley (Jun 2), Goldman strategy (Jun 16) and SocGen (Jun 24). Documents supplied by the user.</t>
  </si>
  <si>
    <t xml:space="preserve">1. Core Argument by House</t>
  </si>
  <si>
    <t xml:space="preserve">House</t>
  </si>
  <si>
    <t xml:space="preserve">Core argument</t>
  </si>
  <si>
    <t xml:space="preserve">Target multiple (Korean names)</t>
  </si>
  <si>
    <t xml:space="preserve">Micron-related comment</t>
  </si>
  <si>
    <t xml:space="preserve">Goldman memory</t>
  </si>
  <si>
    <t xml:space="preserve">5/31</t>
  </si>
  <si>
    <t xml:space="preserve">The durability of the upcycle is not in the price. DRAM supply falls short by 5.0%, 5.9% and 3.9% in 2026, 2027 and 2028, with the shortage persisting through 2028.</t>
  </si>
  <si>
    <t xml:space="preserve">SK hynix at 9.0x P/E (methodology switched from P/B to P/E), Samsung at 9.0x</t>
  </si>
  <si>
    <t xml:space="preserve">Target price of $484, from normalized FY26 EPS of $22 at 22x</t>
  </si>
  <si>
    <t xml:space="preserve">Nomura</t>
  </si>
  <si>
    <t xml:space="preserve">5/15</t>
  </si>
  <si>
    <t xml:space="preserve">AI demand has passed an inflection. Long-term agreements lower the risk premium and drive a re-rating, with 30% annual growth from 2027 to 2031.</t>
  </si>
  <si>
    <t xml:space="preserve">Samsung at 5.0x P/B (discount rate cut from 17% to 10%), SK hynix at 6.0x (21% to 12%)</t>
  </si>
  <si>
    <t xml:space="preserve">Samsung and SK hynix earnings will far exceed Micron’s (not rated)</t>
  </si>
  <si>
    <t xml:space="preserve">6/24</t>
  </si>
  <si>
    <t xml:space="preserve">Raised Q3 2026 DRAM by 24% and NAND by 25% quarter on quarter. HBM profitability converges to commodity levels in 2027.</t>
  </si>
  <si>
    <t xml:space="preserve">Samsung at 5.0x P/B (target KRW 670,000), SK hynix at 6.0x (target KRW 4,700,000)</t>
  </si>
  <si>
    <t xml:space="preserve">BofA</t>
  </si>
  <si>
    <t xml:space="preserve">5/29</t>
  </si>
  <si>
    <t xml:space="preserve">Supply coverage stays above 110% through 2028 with no meaningful oversupply, and ASP volatility runs below historical levels.</t>
  </si>
  <si>
    <t xml:space="preserve">Two-year-forward P/B of 3.28x sits far above the historical median of 1.54x - a valuation warning</t>
  </si>
  <si>
    <t xml:space="preserve">MS</t>
  </si>
  <si>
    <t xml:space="preserve">6/2</t>
  </si>
  <si>
    <t xml:space="preserve">Chipflation. The bottleneck moves from GPUs to memory as HBM cannibalizes commodity DRAM capacity, leaving PCs and smartphones 12-15% short.</t>
  </si>
  <si>
    <t xml:space="preserve">Classified as a beneficiary with pricing power</t>
  </si>
  <si>
    <t xml:space="preserve">Goldman strategy</t>
  </si>
  <si>
    <t xml:space="preserve">6/16</t>
  </si>
  <si>
    <t xml:space="preserve">A post-modern cycle in a capital-intensive expansion phase, where EPS growth rather than valuation drives returns</t>
  </si>
  <si>
    <t xml:space="preserve">Capex beneficiary theme</t>
  </si>
  <si>
    <t xml:space="preserve">SocGen</t>
  </si>
  <si>
    <t xml:space="preserve">Korea carries cycle risk. Foreign outflows plus a surge in retail leveraged ETFs have amplified concentration risk.</t>
  </si>
  <si>
    <t xml:space="preserve">The key risk for Korean investors is the semiconductor cycle turning</t>
  </si>
  <si>
    <t xml:space="preserve">2. Applying Each House’s Methodology to Micron — Implied Price</t>
  </si>
  <si>
    <t xml:space="preserve">Warning: These mechanically apply target multiples set for Korean names to Micron. They are not the houses’ actual Micron views, with the exception of the Goldman US team.</t>
  </si>
  <si>
    <t xml:space="preserve">Methodology source</t>
  </si>
  <si>
    <t xml:space="preserve">Multiple applied</t>
  </si>
  <si>
    <t xml:space="preserve">Applied to</t>
  </si>
  <si>
    <t xml:space="preserve">Nomura, SK hynix</t>
  </si>
  <si>
    <t xml:space="preserve">6.0x P/B</t>
  </si>
  <si>
    <t xml:space="preserve">FY2027 consensus BPS</t>
  </si>
  <si>
    <t xml:space="preserve">Most bullish</t>
  </si>
  <si>
    <t xml:space="preserve">Nomura, Samsung</t>
  </si>
  <si>
    <t xml:space="preserve">5.0x P/B</t>
  </si>
  <si>
    <t xml:space="preserve">Goldman Korea team</t>
  </si>
  <si>
    <t xml:space="preserve">9.0x P/E</t>
  </si>
  <si>
    <t xml:space="preserve">Average FY26-27 EPS</t>
  </si>
  <si>
    <t xml:space="preserve">Five-year average</t>
  </si>
  <si>
    <t xml:space="preserve">1.95x P/B</t>
  </si>
  <si>
    <t xml:space="preserve">Neutral</t>
  </si>
  <si>
    <t xml:space="preserve">BofA historical median</t>
  </si>
  <si>
    <t xml:space="preserve">1.54x P/B</t>
  </si>
  <si>
    <t xml:space="preserve">Conservative</t>
  </si>
  <si>
    <t xml:space="preserve">Goldman US team (actual Micron view)</t>
  </si>
  <si>
    <t xml:space="preserve">22.0x P/E</t>
  </si>
  <si>
    <t xml:space="preserve">Normalized EPS per Goldman</t>
  </si>
  <si>
    <t xml:space="preserve">Most conservative</t>
  </si>
  <si>
    <t xml:space="preserve">3. What Is Priced In and What Is Not</t>
  </si>
  <si>
    <t xml:space="preserve">Report basis</t>
  </si>
  <si>
    <t xml:space="preserve">Check against the model</t>
  </si>
  <si>
    <t xml:space="preserve">Verdict</t>
  </si>
  <si>
    <t xml:space="preserve">Priced in</t>
  </si>
  <si>
    <t xml:space="preserve">The earnings explosion itself</t>
  </si>
  <si>
    <t xml:space="preserve">Consensus EPS of $73 in FY26 rising to $155 in FY27</t>
  </si>
  <si>
    <t xml:space="preserve">Shares up 709% over 52 weeks. An FY27 P/E of 5.4x shows the earnings numbers are accepted.</t>
  </si>
  <si>
    <t xml:space="preserve">Shift to net cash and balance sheet strength</t>
  </si>
  <si>
    <t xml:space="preserve">Consensus FY28 net cash of $266B</t>
  </si>
  <si>
    <t xml:space="preserve">Debt to equity of 0.06 and a current ratio of 3.42, none of which shows up in the risk premium</t>
  </si>
  <si>
    <t xml:space="preserve">Not priced in</t>
  </si>
  <si>
    <t xml:space="preserve">Durability of earnings (the crux)</t>
  </si>
  <si>
    <t xml:space="preserve">Goldman: the durability of the upcycle is still not adequately valued by the market</t>
  </si>
  <si>
    <t xml:space="preserve">A P/E of 7.4x on average FY26-27 EPS, 18% below the Goldman target of 9x</t>
  </si>
  <si>
    <t xml:space="preserve">Lower risk premium from long-term agreements</t>
  </si>
  <si>
    <t xml:space="preserve">Nomura: prepayments, penalties and three-to-five-year commitments justify cutting the discount rate from 17% to 10%</t>
  </si>
  <si>
    <t xml:space="preserve">The model uses a 15% cost of equity on a 2.14 beta. No discount rate reduction is reflected.</t>
  </si>
  <si>
    <t xml:space="preserve">HBM ASP catch-up (2027)</t>
  </si>
  <si>
    <t xml:space="preserve">Goldman sees HBM ASP up 44-50% versus consensus at 34%</t>
  </si>
  <si>
    <t xml:space="preserve">Partly embedded in the 70.7% consensus FY27 net margin</t>
  </si>
  <si>
    <t xml:space="preserve">Partly</t>
  </si>
  <si>
    <t xml:space="preserve">Structurally lower supply elasticity</t>
  </si>
  <si>
    <t xml:space="preserve">Goldman: capacity CAGR of 7-8% for 2026-30 versus 12% in 2017-18. BofA: most capex goes into cleanroom shells.</t>
  </si>
  <si>
    <t xml:space="preserve">The model does not treat supply explicitly and proxies it through the achievement rate lever</t>
  </si>
  <si>
    <t xml:space="preserve">Capacity to expand shareholder returns</t>
  </si>
  <si>
    <t xml:space="preserve">BofA: Micron dividend yield of 0.05% versus a historical median of 0.4%</t>
  </si>
  <si>
    <t xml:space="preserve">Payout is currently 1.2%. Normalizing the dividend would support the valuation.</t>
  </si>
  <si>
    <t xml:space="preserve">Not priced in (bearish)</t>
  </si>
  <si>
    <t xml:space="preserve">Fallout from the 2027-28 capex surge</t>
  </si>
  <si>
    <t xml:space="preserve">Consensus capex of $27.7B in FY26 rising to $48.0B in FY28 and $55.5B in FY29</t>
  </si>
  <si>
    <t xml:space="preserve">That build-out creates supply from FY2029, which the model does not capture beyond FY29</t>
  </si>
  <si>
    <t xml:space="preserve">China: CXMT and YMTC</t>
  </si>
  <si>
    <t xml:space="preserve">Nomura: 30% share domestically and 10% globally, with cleanroom expansion running faster than estimated</t>
  </si>
  <si>
    <t xml:space="preserve">A disruptor in commodity DRAM, though entry into leading-edge and HBM remains difficult</t>
  </si>
  <si>
    <t xml:space="preserve">Power and datacenter construction delays</t>
  </si>
  <si>
    <t xml:space="preserve">Nomura calls this a meaningful bottleneck risk and suggests monitoring via satellite imagery</t>
  </si>
  <si>
    <t xml:space="preserve">Risk of demand being deferred. Consensus assumes on-time start-up.</t>
  </si>
  <si>
    <t xml:space="preserve">Hyperscaler free cash flow margins at zero</t>
  </si>
  <si>
    <t xml:space="preserve">BofA: cloud FCF margins at zero in 2026-27, with capex at 95-100% of operating cash flow versus 35-50% historically</t>
  </si>
  <si>
    <t xml:space="preserve">If funding conditions deteriorate, capex is at risk of being cut</t>
  </si>
  <si>
    <t xml:space="preserve">The sharp upward revision in BPS estimates themselves</t>
  </si>
  <si>
    <t xml:space="preserve">BofA on May 29: two-year-forward P/B of 3.28x. On the same basis today it is 1.91x.</t>
  </si>
  <si>
    <t xml:space="preserve">Warning: the share price rose while P/B fell, meaning BPS estimates were revised up roughly 2.6-3.2x</t>
  </si>
  <si>
    <t xml:space="preserve">4. Applying the Goldman Stress Scenario to Micron (cross-check)</t>
  </si>
  <si>
    <t xml:space="preserve">Goldman tested SK hynix under price declines of 20% in 2027 and 20% in 2028, and again at 30% and 30% for a cumulative fall of roughly 50%, and found operating margins holding in the mid-40s to mid-50s.</t>
  </si>
  <si>
    <t xml:space="preserve">Assumed operating margin</t>
  </si>
  <si>
    <t xml:space="preserve">Adjusted FY28 revenue</t>
  </si>
  <si>
    <t xml:space="preserve">Estimated net income</t>
  </si>
  <si>
    <t xml:space="preserve">At 9x P/E</t>
  </si>
  <si>
    <t xml:space="preserve">At 12x P/E</t>
  </si>
  <si>
    <t xml:space="preserve">Goldman scenario 1 (-20% / -20%)</t>
  </si>
  <si>
    <t xml:space="preserve">Goldman scenario 2 (-30% / -30%)</t>
  </si>
  <si>
    <t xml:space="preserve">Note: Assumes a 15% tax rate. The revenue adjustment approximates a price decline partly offset by volume growth.</t>
  </si>
  <si>
    <t xml:space="preserve">5. Overall Verdict</t>
  </si>
  <si>
    <t xml:space="preserve">1. The market has accepted the earnings but rejected their durability. At 7.4x average FY26-27 EPS it sits below the Goldman target of 9x and the 8-9.6x implied by Nomura.</t>
  </si>
  <si>
    <t xml:space="preserve">2. Six of seven houses agree the shortage persists through 2028. There is effectively no dissent, and that unanimity is itself a risk.</t>
  </si>
  <si>
    <t xml:space="preserve">3. The most important item not priced in is a lower discount rate from long-term agreements. Nomura cut theirs from 17% to 10%. Lowering the model cost of equity from 15% to 10% raises the implied price substantially.</t>
  </si>
  <si>
    <t xml:space="preserve">4. Conversely, neither the market nor the reports reflect the FY2029-30 supply created by $48B of FY2028 capex, CXMT in China, power bottlenecks, or hyperscaler free cash flow at zero.</t>
  </si>
  <si>
    <t xml:space="preserve">5. Warning - the point deserving most caution: on May 29 BofA flagged a two-year-forward P/B of 3.28x as far above the 1.54x historical median. Two months later the same measure reads 1.91x. The share price rose while the multiple fell, which means BPS estimates were revised up sharply. Much of why the stock looks cheap is the denominator moving, and if those revisions reverse the multiple widens again.</t>
  </si>
  <si>
    <t xml:space="preserve">Sources: seven research pieces supplied by the user, dated 15 May to 24 June 2026. Share prices and estimates moved substantially between publication and the current date of 28 July, so mind the timing gap.</t>
  </si>
  <si>
    <t xml:space="preserve">(6) China Risk — CXMT Listing and Domestic Immersion DUV Production (2026-07-27)</t>
  </si>
  <si>
    <t xml:space="preserve">Warning: The seven research pieces above were all published between May 15 and Jun 24, before the Jul 27 events. Their China assessments are already stale.</t>
  </si>
  <si>
    <t xml:space="preserve">1. What Happened (27 July 2026)</t>
  </si>
  <si>
    <t xml:space="preserve">CXMT lists on the Shanghai STAR Market</t>
  </si>
  <si>
    <t xml:space="preserve">Raised $8.6B, the largest Asian IPO of 2026. Up 466-472% on day one, market cap around $489B.</t>
  </si>
  <si>
    <t xml:space="preserve">Domestic immersion DUV enters production</t>
  </si>
  <si>
    <t xml:space="preserve">A Shanghai state-owned enterprise began producing immersion DUV tools. Roughly five units in 2026 and twenty in 2027.</t>
  </si>
  <si>
    <t xml:space="preserve">Delivery destinations</t>
  </si>
  <si>
    <t xml:space="preserve">SMIC, Hua Hong and CXMT - a memory maker is directly included</t>
  </si>
  <si>
    <t xml:space="preserve">Technical specification</t>
  </si>
  <si>
    <t xml:space="preserve">Rated for 28nm-class processes, with claims of reaching 7nm-class using multi-patterning</t>
  </si>
  <si>
    <t xml:space="preserve">Market reaction</t>
  </si>
  <si>
    <t xml:space="preserve">Over $1 trillion of market value erased. Micron -8%, SanDisk -15%, SK hynix ADR -8%.</t>
  </si>
  <si>
    <t xml:space="preserve">Regulatory status</t>
  </si>
  <si>
    <t xml:space="preserve">CXMT is designated a military company by the US Department of Defense. US legislators proposed additional immersion DUV restrictions in April.</t>
  </si>
  <si>
    <t xml:space="preserve">2. CXMT Capacity — Conflict With the Goldman and Nomura Assumptions</t>
  </si>
  <si>
    <t xml:space="preserve">CXMT</t>
  </si>
  <si>
    <t xml:space="preserve">SK hynix</t>
  </si>
  <si>
    <t xml:space="preserve">Micron</t>
  </si>
  <si>
    <t xml:space="preserve">Samsung</t>
  </si>
  <si>
    <t xml:space="preserve">2026 capacity additions (kwspm)</t>
  </si>
  <si>
    <t xml:space="preserve">CXMT alone equals 81% of the 105 kwspm added by the top three combined</t>
  </si>
  <si>
    <t xml:space="preserve">Total capacity at end-2026 (kwspm)</t>
  </si>
  <si>
    <t xml:space="preserve">Closes to within 25k of Micron</t>
  </si>
  <si>
    <t xml:space="preserve">Global DRAM share, 2027E</t>
  </si>
  <si>
    <t xml:space="preserve">CXMT target</t>
  </si>
  <si>
    <t xml:space="preserve">Global DRAM share, 2028E</t>
  </si>
  <si>
    <t xml:space="preserve">Goldman (May 31) forecast undersupply through 2028 assuming top-three commodity DRAM capacity growth of 7-8% CAGR over 2026-30 and 15% supply growth. CXMT was not in that calculation.</t>
  </si>
  <si>
    <t xml:space="preserve">Nomura (Jun 24) judged there was no need for excessive concern at this stage, but the equipment bottleneck underpinning that view was shaken on Jul 27.</t>
  </si>
  <si>
    <t xml:space="preserve">3. Micron Revenue Structure — Where the Exposure Sits</t>
  </si>
  <si>
    <t xml:space="preserve">Segment</t>
  </si>
  <si>
    <t xml:space="preserve">TTM revenue share</t>
  </si>
  <si>
    <t xml:space="preserve">TTM revenue ($m)</t>
  </si>
  <si>
    <t xml:space="preserve">CXMT threat level</t>
  </si>
  <si>
    <t xml:space="preserve">Rationale</t>
  </si>
  <si>
    <t xml:space="preserve">Commodity DRAM</t>
  </si>
  <si>
    <t xml:space="preserve">High</t>
  </si>
  <si>
    <t xml:space="preserve">Over 98% of CXMT revenue is commodity DRAM, centred on DDR5 and LPDDR5X</t>
  </si>
  <si>
    <t xml:space="preserve">HBM</t>
  </si>
  <si>
    <t xml:space="preserve">Low</t>
  </si>
  <si>
    <t xml:space="preserve">CXMT lists no HBM project in its IPO prospectus. HBM3E production is targeted for 2027, one to two generations behind.</t>
  </si>
  <si>
    <t xml:space="preserve">NAND</t>
  </si>
  <si>
    <t xml:space="preserve">Medium</t>
  </si>
  <si>
    <t xml:space="preserve">YMTC is a separate threat, but CXMT is DRAM-only</t>
  </si>
  <si>
    <t xml:space="preserve">Note: DRAM is 76% of revenue (FY26 Q3) and HBM is over 30% of DRAM revenue, so commodity DRAM is roughly 53% of the total. More than half of Micron revenue sits in direct competition with CXMT.</t>
  </si>
  <si>
    <t xml:space="preserve">4. Channel A — Sensitivity of Earnings to Impairment</t>
  </si>
  <si>
    <t xml:space="preserve">Commodity DRAM ASP decline scenario. Under a fixed-cost structure most of the revenue loss flows straight to profit (85% pass-through). [*] Revised 2026-07-31: the weight was changed from a fixed TTM 53% to the FY2028 value derived on MixPath.</t>
  </si>
  <si>
    <t xml:space="preserve">Commodity DRAM ASP decline</t>
  </si>
  <si>
    <t xml:space="preserve">FY28 revenue loss</t>
  </si>
  <si>
    <t xml:space="preserve">Adjusted net income</t>
  </si>
  <si>
    <t xml:space="preserve">Adjusted EPS</t>
  </si>
  <si>
    <t xml:space="preserve">At 6x P/E</t>
  </si>
  <si>
    <t xml:space="preserve">Even with ASP down 30%, FY28 EPS is around $134, implying $1,200 at 9x. Through the earnings channel alone the damage is smaller than expected.</t>
  </si>
  <si>
    <t xml:space="preserve">Warning: The prior version applied the TTM commodity share of 53% to FY2028 revenue and overstated the CXMT threat. Mix shift makes the FY2028 commodity share lower - time is on Micron’s side.</t>
  </si>
  <si>
    <t xml:space="preserve">5. Channel B — Impairment Through the Discount Rate  [*] This Is the Real One</t>
  </si>
  <si>
    <t xml:space="preserve">Justified P/B = (ROE - g) / (COE - g). Holding FY2028 consensus BPS, a 30% sustainable ROE and 5% growth fixed, only the cost of equity varies.</t>
  </si>
  <si>
    <t xml:space="preserve">COE</t>
  </si>
  <si>
    <t xml:space="preserve">Nomura argument (re-rating on long-term agreements)</t>
  </si>
  <si>
    <t xml:space="preserve">Argues for cutting the discount rate from 17% to 10%</t>
  </si>
  <si>
    <t xml:space="preserve">Current model default (CAPM)</t>
  </si>
  <si>
    <t xml:space="preserve">Calculated on a beta of 2.14</t>
  </si>
  <si>
    <t xml:space="preserve">Reflecting China risk</t>
  </si>
  <si>
    <t xml:space="preserve">[*] The level implied by the current price</t>
  </si>
  <si>
    <t xml:space="preserve">China risk escalating</t>
  </si>
  <si>
    <t xml:space="preserve">If reclassified as a cyclical</t>
  </si>
  <si>
    <t xml:space="preserve">The Jul 27 events did not immediately change EPS estimates but pushed the cost of equity up. That is precisely the variable the bull case depended on - Goldman switching from P/B to P/E methodology and Nomura cutting the discount rate.</t>
  </si>
  <si>
    <t xml:space="preserve">6. A Balanced View — Reasons Not to Overstate This</t>
  </si>
  <si>
    <t xml:space="preserve">DUV volumes are still negligible</t>
  </si>
  <si>
    <t xml:space="preserve">Five units in 2026 and twenty in 2027. ASML ships hundreds of immersion tools a year.</t>
  </si>
  <si>
    <t xml:space="preserve">28nm-class is not leading-edge DRAM</t>
  </si>
  <si>
    <t xml:space="preserve">Leading DRAM nodes require layered multi-patterning, which carries heavy yield, cost and cycle-time penalties</t>
  </si>
  <si>
    <t xml:space="preserve">HBM barriers are a separate matter</t>
  </si>
  <si>
    <t xml:space="preserve">Requires TSV and hybrid bonding in back-end plus qualification with Nvidia and the hyperscalers. CXMT is one to two generations behind.</t>
  </si>
  <si>
    <t xml:space="preserve">DoD designation blocks US datacenters</t>
  </si>
  <si>
    <t xml:space="preserve">Supply into US datacenters is effectively closed on security grounds. Nomura makes this point as well.</t>
  </si>
  <si>
    <t xml:space="preserve">Existing long-term agreements still hold</t>
  </si>
  <si>
    <t xml:space="preserve">Contracts carrying prepayments, penalties and floor prices do not collapse quickly</t>
  </si>
  <si>
    <t xml:space="preserve">The point is not volume but the removal of a ceiling</t>
  </si>
  <si>
    <t xml:space="preserve">It is not immediate supply but a change in terminal assumptions, which is why it hits the multiple before it hits EPS</t>
  </si>
  <si>
    <t xml:space="preserve">Sources: Reuters and Tom’s Hardware (Chinese immersion DUV production, 2026-07-27/28), CXMT STAR listing coverage, SemiAnalysis (CXMT capacity), Benzinga and CNBC (market reaction)</t>
  </si>
  <si>
    <t xml:space="preserve">7. [*] The Twist — CXMT Is a Price Taker, Not a Price Destroyer (confirmed July 2026)</t>
  </si>
  <si>
    <t xml:space="preserve">Apple negotiation</t>
  </si>
  <si>
    <t xml:space="preserve">CXMT quoted Apple a higher price than Samsung or SK hynix, on the view that there is no reason to sell cheaply</t>
  </si>
  <si>
    <t xml:space="preserve">Server DDR5 transacted prices</t>
  </si>
  <si>
    <t xml:space="preserve">On 64GB DDR5 RDIMM, CXMT prices slightly above Samsung at roughly $1,240. Samsung and SK hynix at CNY 18,595.91, with CXMT higher still.</t>
  </si>
  <si>
    <t xml:space="preserve">Response to Huawei</t>
  </si>
  <si>
    <t xml:space="preserve">Refused a discount request even from Huawei, a domestic customer</t>
  </si>
  <si>
    <t xml:space="preserve">Domestic pushback</t>
  </si>
  <si>
    <t xml:space="preserve">Chinese electronics makers petitioned MIIT that price increases at CXMT and YMTC are delaying product launches</t>
  </si>
  <si>
    <t xml:space="preserve">Why Apple is interested</t>
  </si>
  <si>
    <t xml:space="preserve">Distributors report CXMT pricing in line with Samsung, SK hynix and Micron. The only advantage is availability of volume.</t>
  </si>
  <si>
    <t xml:space="preserve">Expansion plans</t>
  </si>
  <si>
    <t xml:space="preserve">Two new fabs in Shanghai and Hefei. Once running, capacity passes 600k wafers per month - more than double current levels.</t>
  </si>
  <si>
    <t xml:space="preserve">8. Why This Matters — Two Historical Patterns of Chinese Entry</t>
  </si>
  <si>
    <t xml:space="preserve">Pattern</t>
  </si>
  <si>
    <t xml:space="preserve">Precedent</t>
  </si>
  <si>
    <t xml:space="preserve">Applies to CXMT?</t>
  </si>
  <si>
    <t xml:space="preserve">A. Share first (dumping)</t>
  </si>
  <si>
    <t xml:space="preserve">Solar, LED, LCD, steel</t>
  </si>
  <si>
    <t xml:space="preserve">Prices collapse and industry-wide margins disappear</t>
  </si>
  <si>
    <t xml:space="preserve">Not observed so far</t>
  </si>
  <si>
    <t xml:space="preserve">B. Profit first (price taking)</t>
  </si>
  <si>
    <t xml:space="preserve">Industries where the oligopoly holds</t>
  </si>
  <si>
    <t xml:space="preserve">Share is lost but price is maintained</t>
  </si>
  <si>
    <t xml:space="preserve">[*] What CXMT is currently doing</t>
  </si>
  <si>
    <t xml:space="preserve">The 28 July analysis assumed pattern A by default. Observed behaviour is pattern B, which materially weakens the bear case.</t>
  </si>
  <si>
    <t xml:space="preserve">One decisive caveat: this is a shortage phase. Anyone prices high in a shortage. The real test comes once supply catches demand.</t>
  </si>
  <si>
    <t xml:space="preserve">9. Channel C — Impairment Through Volume and Share Rather Than Price</t>
  </si>
  <si>
    <t xml:space="preserve">If CXMT accepts market prices, ASP holds and Micron loses only share. That is far gentler than the price channel.</t>
  </si>
  <si>
    <t xml:space="preserve">Commodity DRAM volume displaced</t>
  </si>
  <si>
    <t xml:space="preserve">Note: Unlike a price decline, lost volume also reduces variable cost, so pass-through is set at 70% here versus 85% in Channel A.</t>
  </si>
  <si>
    <t xml:space="preserve">10. Revised Overall View</t>
  </si>
  <si>
    <t xml:space="preserve">1. CXMT has behaved profit-first so far, quoting Apple a premium and refusing Huawei a discount. That suggests the memory oligopoly may widen to four players while remaining intact.</t>
  </si>
  <si>
    <t xml:space="preserve">2. The impairment path therefore shifts from price (Channel A) to volume and share (Channel C). The damage to Micron earnings is smaller than initially presented.</t>
  </si>
  <si>
    <t xml:space="preserve">3. The discount rate logic in Channel B nonetheless stands. If CXMT takes 12% share in 2027 and 17% in 2028, Micron’s terminal share assumption falls.</t>
  </si>
  <si>
    <t xml:space="preserve">4. Warning - the most important caveat: this is a shortage phase. Price discipline during a shortage proves nothing. The real test is whether discipline holds once CXMT reaches 600k wafers per month, more than double today.</t>
  </si>
  <si>
    <t xml:space="preserve">5. Political variable: Chinese electronics makers have petitioned MIIT over CXMT price increases. If Beijing pushes domestic-supply priority and price restraint, that discipline could break for policy reasons.</t>
  </si>
  <si>
    <t xml:space="preserve">6. Conclusion: lower the probability on the price-collapse leg of the bear case. Share erosion combined with terminal multiple compression remains valid.</t>
  </si>
  <si>
    <t xml:space="preserve">Sources: Techworld, EBN and Economy Tribune (CXMT quoting Apple a premium), TechPowerUp, Tom’s Hardware and Notebookcheck (server DDR5 price comparison), wccftech (600k wpm expansion, Huawei discount refusal)</t>
  </si>
  <si>
    <t xml:space="preserve">(7) Shareholder Returns — Buyback Simulator After the CHIPS Restriction Lifts (2026-12-09)</t>
  </si>
  <si>
    <t xml:space="preserve">1. Confirmed Facts</t>
  </si>
  <si>
    <t xml:space="preserve">Nature of the CHIPS restriction</t>
  </si>
  <si>
    <t xml:space="preserve">A standard condition for CHIPS award recipients, not specific to Micron. It runs five years from the award date, and for the first two years buybacks are permitted only within a specified limit for offsetting employee compensation dilution.</t>
  </si>
  <si>
    <t xml:space="preserve">Key dates</t>
  </si>
  <si>
    <t xml:space="preserve">Award date 9 Dec 2024. The first two years expire 9 Dec 2026; the full five-year period ends 9 Dec 2029.</t>
  </si>
  <si>
    <t xml:space="preserve">Company policy (Q3 FY26)</t>
  </si>
  <si>
    <t xml:space="preserve">Shareholder returns expand once the restriction lifts, returning 100% of excess cash to shareholders</t>
  </si>
  <si>
    <t xml:space="preserve">Primary instrument</t>
  </si>
  <si>
    <t xml:space="preserve">CFO Mark Murphy: the dividend was raised, but buybacks are the primary vehicle</t>
  </si>
  <si>
    <t xml:space="preserve">Recent execution</t>
  </si>
  <si>
    <t xml:space="preserve">$300m repurchased in FY26 Q1 and $350m in Q2, then paused in Q3</t>
  </si>
  <si>
    <t xml:space="preserve">Current dividend</t>
  </si>
  <si>
    <t xml:space="preserve">$0.15 quarterly (raised Jun 24), $0.60 annually, a 0.07% yield</t>
  </si>
  <si>
    <t xml:space="preserve">Competing uses of cash</t>
  </si>
  <si>
    <t xml:space="preserve">FY26 capex of $27B. Quarterly FY27 capex is guided above FY26 Q4, with more than half the increase in construction.</t>
  </si>
  <si>
    <t xml:space="preserve">2. Analyst Estimates — The Dispersion Is Enormous</t>
  </si>
  <si>
    <t xml:space="preserve">Source</t>
  </si>
  <si>
    <t xml:space="preserve">Estimate</t>
  </si>
  <si>
    <t xml:space="preserve">Amount ($m)</t>
  </si>
  <si>
    <t xml:space="preserve">vs market cap</t>
  </si>
  <si>
    <t xml:space="preserve">UBS (Timothy Arcuri)</t>
  </si>
  <si>
    <t xml:space="preserve">Cumulative FCF of over $400B across 2027-2029, enough to repurchase more than 40% of shares by end-2028</t>
  </si>
  <si>
    <t xml:space="preserve">Up to $31.7B of buybacks in FY2027 alone</t>
  </si>
  <si>
    <t xml:space="preserve">Consensus FY28 net cash</t>
  </si>
  <si>
    <t xml:space="preserve">Projected FY2028 net cash balance, approximating the ceiling on returns</t>
  </si>
  <si>
    <t xml:space="preserve">The UBS and BofA FY2027 estimates differ by more than tenfold. UBS assumes all free cash flow is deployed; BofA assumes capex constrains it.</t>
  </si>
  <si>
    <t xml:space="preserve">3. Simulator — Edit the Yellow Cells</t>
  </si>
  <si>
    <t xml:space="preserve">[*] Total buyback amount ($m)</t>
  </si>
  <si>
    <t xml:space="preserve">Default is consensus FY28 net cash. Try UBS at 380,000 and BofA at 31,700 as well.</t>
  </si>
  <si>
    <t xml:space="preserve">[*] Average purchase price</t>
  </si>
  <si>
    <t xml:space="preserve">Assumed average share price over the repurchase period</t>
  </si>
  <si>
    <t xml:space="preserve">Shares repurchased (millions)</t>
  </si>
  <si>
    <t xml:space="preserve">Amount / price</t>
  </si>
  <si>
    <t xml:space="preserve">Share of count retired</t>
  </si>
  <si>
    <t xml:space="preserve">Against the current share count</t>
  </si>
  <si>
    <t xml:space="preserve">Shares outstanding after repurchase (millions)</t>
  </si>
  <si>
    <t xml:space="preserve">4. FY2028 Metrics — Before and After the Buyback</t>
  </si>
  <si>
    <t xml:space="preserve">Before buyback (consensus)</t>
  </si>
  <si>
    <t xml:space="preserve">After buyback</t>
  </si>
  <si>
    <t xml:space="preserve">Change</t>
  </si>
  <si>
    <t xml:space="preserve">Net income ($m)</t>
  </si>
  <si>
    <t xml:space="preserve">Buybacks do not change net income</t>
  </si>
  <si>
    <t xml:space="preserve">Shareholders equity ($m)</t>
  </si>
  <si>
    <t xml:space="preserve">Equity falls by the amount repurchased</t>
  </si>
  <si>
    <t xml:space="preserve">[*] Materially improved</t>
  </si>
  <si>
    <t xml:space="preserve">BPS</t>
  </si>
  <si>
    <t xml:space="preserve">[*] Actually worse, since repurchases occur above 1x book</t>
  </si>
  <si>
    <t xml:space="preserve">Looks cheaper</t>
  </si>
  <si>
    <t xml:space="preserve">Looks more expensive</t>
  </si>
  <si>
    <t xml:space="preserve">[*] Key point: buybacks lower P/E and raise P/B, because book value falls by the cash spent.</t>
  </si>
  <si>
    <t xml:space="preserve">So the claim that FY2028 forward P/B of 1.91x is cheap cannot coexist with the claim of a huge buyback funded by $265.5B of net cash. The two pillars of the bull case consume each other.</t>
  </si>
  <si>
    <t xml:space="preserve">The correct test is whether the repurchase price sits below intrinsic value. Below it creates value; above it destroys value.</t>
  </si>
  <si>
    <t xml:space="preserve">5. Sensitivity — Post-Buyback FY2028 EPS (rows: amount / columns: average purchase price)</t>
  </si>
  <si>
    <t xml:space="preserve">Amount ($m) \ Price</t>
  </si>
  <si>
    <t xml:space="preserve">Note: Consensus FY2028 net income is held fixed. In practice net income falls slightly by the interest income forgone on the cash spent.</t>
  </si>
  <si>
    <t xml:space="preserve">Note: Pre-buyback consensus EPS is $170.38. Under the UBS scenario ($380B at $900 per share) the result sits near the bottom right of the grid.</t>
  </si>
  <si>
    <t xml:space="preserve">6. Caveats</t>
  </si>
  <si>
    <t xml:space="preserve">1. The definition of excess cash has not been disclosed. If it means the balance after capex, the FY2027 capex surge to $47.1B sharply reduces actual capacity.</t>
  </si>
  <si>
    <t xml:space="preserve">2. December 9 is the date the restriction lifts, not the date of an announcement. Size and duration will be disclosed around that time.</t>
  </si>
  <si>
    <t xml:space="preserve">3. The UBS estimate of retiring 40% assumes the current share price. If the stock rises, the same dollars buy fewer shares and the retirement ratio falls.</t>
  </si>
  <si>
    <t xml:space="preserve">4. The company is currently diluting rather than retiring - buyback yield of -0.62%, share count up 0.62% year over year, and a total shareholder yield of -0.55%.</t>
  </si>
  <si>
    <t xml:space="preserve">5. Everything here assumes consensus FY2028 results are realized. Read it alongside the achievement rate lever on the ConsensusValuation tab.</t>
  </si>
  <si>
    <t xml:space="preserve">Sources: Micron Q3 FY2026 results and earnings call (2026-06-24), UBS (July 2026), BofA, Micron 10-Q (FY2026)</t>
  </si>
  <si>
    <t xml:space="preserve">7. Scenario by Buyback Size — Recalculated Implied Price</t>
  </si>
  <si>
    <t xml:space="preserve">Logic: a buyback removes cash from the company and reduces the share count. Total value falls by the amount spent, and that value is divided among fewer shares.</t>
  </si>
  <si>
    <t xml:space="preserve">Adjusted price = (prior implied price x prior share count - amount spent) / (prior share count - amount spent / purchase price)</t>
  </si>
  <si>
    <t xml:space="preserve">[*] Assumed purchase price</t>
  </si>
  <si>
    <t xml:space="preserve">Default is the current share price. A purchase price above intrinsic value destroys value.</t>
  </si>
  <si>
    <t xml:space="preserve">Implied price before buyback</t>
  </si>
  <si>
    <t xml:space="preserve">BofA case ($31.7B)</t>
  </si>
  <si>
    <t xml:space="preserve">UBS case ($380B)</t>
  </si>
  <si>
    <t xml:space="preserve">Buybacks are not magic. Value is created only by buying cheaply. What matters is the price paid, not the amount spent.</t>
  </si>
  <si>
    <t xml:space="preserve">Warning on consistency: in the bear case the company never generates the $380B UBS assumes. The UBS estimate itself presupposes bull-case free cash flow.</t>
  </si>
  <si>
    <t xml:space="preserve">Warning: a bear case combined with a large buyback is therefore not a real-world combination. It appears in the table only for arithmetic comparison.</t>
  </si>
  <si>
    <t xml:space="preserve">8. Break-even Purchase Price — Below What Level Does Buying Create Value</t>
  </si>
  <si>
    <t xml:space="preserve">Implied price before buyback equals the break-even price</t>
  </si>
  <si>
    <t xml:space="preserve">vs the current price of $838</t>
  </si>
  <si>
    <t xml:space="preserve">When management buys after December 9 matters more than how much. Executing a large repurchase at the peak destroys shareholder value.</t>
  </si>
  <si>
    <t xml:space="preserve">Note: Micron has repurchased stock at prior cycle peaks. Check the timing of execution at every earnings report.</t>
  </si>
  <si>
    <t xml:space="preserve">Warning — An Important Unverified Premise Behind the UBS Estimate</t>
  </si>
  <si>
    <t xml:space="preserve">The Micron agreement imposes restrictions over five years from the award date, and the dilution-offset limit is specified only for the first two years.</t>
  </si>
  <si>
    <t xml:space="preserve">The company has said it will expand shareholder returns from 9 Dec 2026, the second anniversary, but the disclosed language does not make clear what conditions remain in years three through five, to 9 Dec 2029.</t>
  </si>
  <si>
    <t xml:space="preserve">The UBS estimate of retiring 40% by 2028 rests on the restriction lifting fully in December 2026. If constraints remain in years three to five, it is overstated.</t>
  </si>
  <si>
    <t xml:space="preserve">How to verify: read the CHIPS-related notes in Micron’s 10-K and 10-Q, or the buyback clause in the original 8-K dated 2024-12-10.</t>
  </si>
  <si>
    <t xml:space="preserve">Reference — Major CHIPS direct-funding recipients (same conditions apply)</t>
  </si>
  <si>
    <t xml:space="preserve">Intel</t>
  </si>
  <si>
    <t xml:space="preserve">Up to $8.5B</t>
  </si>
  <si>
    <t xml:space="preserve">2024</t>
  </si>
  <si>
    <t xml:space="preserve">TSMC</t>
  </si>
  <si>
    <t xml:space="preserve">$6.6B</t>
  </si>
  <si>
    <t xml:space="preserve">Finalized November 2024</t>
  </si>
  <si>
    <t xml:space="preserve">Up to $6.1B</t>
  </si>
  <si>
    <t xml:space="preserve">Finalized 9 December 2024</t>
  </si>
  <si>
    <t xml:space="preserve">$4.745B</t>
  </si>
  <si>
    <t xml:space="preserve">Finalized December 2024</t>
  </si>
  <si>
    <t xml:space="preserve">Texas Instruments</t>
  </si>
  <si>
    <t xml:space="preserve">$1.61B</t>
  </si>
  <si>
    <t xml:space="preserve">$1.2B (West Lafayette, Indiana)</t>
  </si>
  <si>
    <t xml:space="preserve">Updated April 2026</t>
  </si>
  <si>
    <t xml:space="preserve">GlobalFoundries</t>
  </si>
  <si>
    <t xml:space="preserve">$0.8B</t>
  </si>
  <si>
    <t xml:space="preserve">April 2026</t>
  </si>
  <si>
    <t xml:space="preserve">Note: Award dates differ by company, so restrictions lift at different times. Detailed terms are negotiated individually and are not identical across recipients.</t>
  </si>
  <si>
    <t xml:space="preserve">(8) Buyback Strategy — Drawdown-Band Tranche Simulator</t>
  </si>
  <si>
    <t xml:space="preserve">1. Reference Values</t>
  </si>
  <si>
    <t xml:space="preserve">Current drawdown</t>
  </si>
  <si>
    <t xml:space="preserve">Already down 33%, so the -30% band is effectively reached</t>
  </si>
  <si>
    <t xml:space="preserve">[*] Total buyback budget ($m)</t>
  </si>
  <si>
    <t xml:space="preserve">[*] BofA estimate. UBS assumes $380,000m.</t>
  </si>
  <si>
    <t xml:space="preserve">2. Drawdown Bands and Allocation — edit the yellow cells</t>
  </si>
  <si>
    <t xml:space="preserve">Band</t>
  </si>
  <si>
    <t xml:space="preserve">Drawdown from peak</t>
  </si>
  <si>
    <t xml:space="preserve">Purchase price</t>
  </si>
  <si>
    <t xml:space="preserve">Allocation A (33/33/33)</t>
  </si>
  <si>
    <t xml:space="preserve">Allocation B (30/40/30)</t>
  </si>
  <si>
    <t xml:space="preserve">Shares bought, A</t>
  </si>
  <si>
    <t xml:space="preserve">Shares bought, B</t>
  </si>
  <si>
    <t xml:space="preserve">Probability of reaching</t>
  </si>
  <si>
    <t xml:space="preserve">Shallow correction</t>
  </si>
  <si>
    <t xml:space="preserve">Cycle average</t>
  </si>
  <si>
    <t xml:space="preserve">Extreme (bear case realized)</t>
  </si>
  <si>
    <t xml:space="preserve">Total</t>
  </si>
  <si>
    <t xml:space="preserve">3. [*] Key Point 1 — The Effective Average Price Is Harmonic, Not Arithmetic</t>
  </si>
  <si>
    <t xml:space="preserve">The same dollar amount buys more shares at lower prices, so the effective purchase price is well below the simple average.</t>
  </si>
  <si>
    <t xml:space="preserve">Method</t>
  </si>
  <si>
    <t xml:space="preserve">Arithmetic average price</t>
  </si>
  <si>
    <t xml:space="preserve">Effective (harmonic) average price</t>
  </si>
  <si>
    <t xml:space="preserve">Difference</t>
  </si>
  <si>
    <t xml:space="preserve">Total shares bought</t>
  </si>
  <si>
    <t xml:space="preserve">vs a lump sum at $838</t>
  </si>
  <si>
    <t xml:space="preserve">Lump sum at $838</t>
  </si>
  <si>
    <t xml:space="preserve">Spreading the same budget across bands retires materially more shares. That is the math working in your favour.</t>
  </si>
  <si>
    <t xml:space="preserve">4. Implied Price by Scenario — With Banded Purchases Applied</t>
  </si>
  <si>
    <t xml:space="preserve">Adjusted price = (prior implied price x prior share count - budget) / (prior share count - shares bought)</t>
  </si>
  <si>
    <t xml:space="preserve">Before buyback</t>
  </si>
  <si>
    <t xml:space="preserve">Allocation A applied</t>
  </si>
  <si>
    <t xml:space="preserve">Allocation B applied</t>
  </si>
  <si>
    <t xml:space="preserve">A vs lump sum</t>
  </si>
  <si>
    <t xml:space="preserve">A vs before buyback</t>
  </si>
  <si>
    <t xml:space="preserve">5. Warning — Key Point 2: The Math That Works Against You, Regime Consistency</t>
  </si>
  <si>
    <t xml:space="preserve">In a world where the share price falls 80% from the peak, intrinsic value has collapsed alongside it.</t>
  </si>
  <si>
    <t xml:space="preserve">Reaching the -80% band at $251 means the bear case has been realized, and intrinsic value is then the bear figure of $217, not the bull figure of $1,637.</t>
  </si>
  <si>
    <t xml:space="preserve">Buying cheaply at -80% may therefore be an illusion, because the reason the price got there is the value destruction itself.</t>
  </si>
  <si>
    <t xml:space="preserve">Corresponding regime</t>
  </si>
  <si>
    <t xml:space="preserve">Intrinsic value in that regime</t>
  </si>
  <si>
    <t xml:space="preserve">Margin over purchase price</t>
  </si>
  <si>
    <t xml:space="preserve">-30% ($878)</t>
  </si>
  <si>
    <t xml:space="preserve">Base to bull regime holds</t>
  </si>
  <si>
    <t xml:space="preserve">-50% ($628)</t>
  </si>
  <si>
    <t xml:space="preserve">Lower end of the base case</t>
  </si>
  <si>
    <t xml:space="preserve">-80% ($251)</t>
  </si>
  <si>
    <t xml:space="preserve">Bear case realized</t>
  </si>
  <si>
    <t xml:space="preserve">The genuinely attractive zone is where price has fallen but intrinsic value has not. The -50% band is a candidate; -80% usually is not.</t>
  </si>
  <si>
    <t xml:space="preserve">6. Applying Reach Probabilities — What Can Actually Be Deployed</t>
  </si>
  <si>
    <t xml:space="preserve">Planned allocation A</t>
  </si>
  <si>
    <t xml:space="preserve">Expected deployment</t>
  </si>
  <si>
    <t xml:space="preserve">Expected shares bought</t>
  </si>
  <si>
    <t xml:space="preserve">Undeployed balance</t>
  </si>
  <si>
    <t xml:space="preserve">Note (2026-07-31): The total budget in B7 (BofA $31.7B) may differ from the cumulative buyback assumption in ROE_Build B33:E33. Align them to run a single consistent scenario.</t>
  </si>
  <si>
    <t xml:space="preserve">Note: The undeployed balance either stays in cash or is reallocated to the higher bands. Assuming the latter raises the effective purchase price.</t>
  </si>
  <si>
    <t xml:space="preserve">Note: The share price is already 33% below the peak, so the -30% band is effectively reached and its probability is set to 100%.</t>
  </si>
  <si>
    <t xml:space="preserve">7. Conclusion</t>
  </si>
  <si>
    <t xml:space="preserve">1. Banded purchases retire more shares for the same budget because the effective price is a harmonic mean. That is unambiguously favourable.</t>
  </si>
  <si>
    <t xml:space="preserve">2. But the deeper the band, the more the reason for reaching it - impaired intrinsic value - comes with it. At -80% the shares are usually not cheap; the value is gone.</t>
  </si>
  <si>
    <t xml:space="preserve">3. The practically useful zone is where price has fallen by roughly the cycle average while the structure remains intact - broadly the -40% to -60% band.</t>
  </si>
  <si>
    <t xml:space="preserve">4. Whether the company actually executes with this discipline is a separate question. Micron has bought back stock at prior cycle peaks.</t>
  </si>
  <si>
    <t xml:space="preserve">5. This tab evaluates the company’s buyback strategy. It is a different question from an individual investor’s own averaging-in plan.</t>
  </si>
  <si>
    <t xml:space="preserve">(10) Three-Stage Residual Income Model (RIM) — Explicit Discount Rate by Period</t>
  </si>
  <si>
    <t xml:space="preserve">V0 = B0 + sum of RIt / cumulative discount factor + terminal value / cumulative discount factor.  RIt = EPSt - rt x Bt-1</t>
  </si>
  <si>
    <t xml:space="preserve">1. Inputs — Edit the Yellow Cells</t>
  </si>
  <si>
    <t xml:space="preserve">To use the Finviz Jul 28 close of $820.53, edit Assumptions B5</t>
  </si>
  <si>
    <t xml:space="preserve">B0 - FY2025 actual BPS</t>
  </si>
  <si>
    <t xml:space="preserve">A confirmed actual. The starting point of the model.</t>
  </si>
  <si>
    <t xml:space="preserve">[*] Stage 1 discount rate (FY2026-28)</t>
  </si>
  <si>
    <t xml:space="preserve">Derived on the DiscountRate tab (CAPM build-up plus stage adjustment)</t>
  </si>
  <si>
    <t xml:space="preserve">[*] Stage 2 discount rate (FY2029)</t>
  </si>
  <si>
    <t xml:space="preserve">Derived on the DiscountRate tab</t>
  </si>
  <si>
    <t xml:space="preserve">[*] Terminal discount rate</t>
  </si>
  <si>
    <t xml:space="preserve">Derived on the DiscountRate tab. [*] Still dominates the result.</t>
  </si>
  <si>
    <t xml:space="preserve">[*] Terminal ROE</t>
  </si>
  <si>
    <t xml:space="preserve">[*] Derived on the TerminalROE tab; manual entry retired. Overwrite this cell with a number to set it directly.</t>
  </si>
  <si>
    <t xml:space="preserve">[*] Terminal growth rate g</t>
  </si>
  <si>
    <t xml:space="preserve">[*] Must stay below the terminal discount rate</t>
  </si>
  <si>
    <t xml:space="preserve">2. Residual Income and Present Value by Year</t>
  </si>
  <si>
    <t xml:space="preserve">Opening equity Bt-1</t>
  </si>
  <si>
    <t xml:space="preserve">Applied discount rate rt</t>
  </si>
  <si>
    <t xml:space="preserve">Equity charge = Bt-1 x rt</t>
  </si>
  <si>
    <t xml:space="preserve">Residual income RIt</t>
  </si>
  <si>
    <t xml:space="preserve">Cumulative discount factor</t>
  </si>
  <si>
    <t xml:space="preserve">PV of residual income</t>
  </si>
  <si>
    <t xml:space="preserve">Closing equity BPS (consensus)</t>
  </si>
  <si>
    <t xml:space="preserve">3. Value Build-up (as of today)</t>
  </si>
  <si>
    <t xml:space="preserve">B0 (FY2025 actual book value)</t>
  </si>
  <si>
    <t xml:space="preserve">Starting point</t>
  </si>
  <si>
    <t xml:space="preserve">Plus total PV of residual income</t>
  </si>
  <si>
    <t xml:space="preserve">Four years, FY2026-2029</t>
  </si>
  <si>
    <t xml:space="preserve">Terminal residual income</t>
  </si>
  <si>
    <t xml:space="preserve">(terminal ROE - terminal discount rate) x FY2029 BPS</t>
  </si>
  <si>
    <t xml:space="preserve">Terminal value</t>
  </si>
  <si>
    <t xml:space="preserve">Terminal RI / (terminal discount rate - g)</t>
  </si>
  <si>
    <t xml:space="preserve">Plus PV of terminal value</t>
  </si>
  <si>
    <t xml:space="preserve">Applying the FY2029 discount factor</t>
  </si>
  <si>
    <t xml:space="preserve">Intrinsic value V0 (today)</t>
  </si>
  <si>
    <t xml:space="preserve">[*] The price that can be paid today</t>
  </si>
  <si>
    <t xml:space="preserve">Gap</t>
  </si>
  <si>
    <t xml:space="preserve">Positive means undervalued</t>
  </si>
  <si>
    <t xml:space="preserve">4. [*] Guarding Against Timing Confusion — an FY2028 Value Is Not a Today Value</t>
  </si>
  <si>
    <t xml:space="preserve">The PB_ROE_Model tab multiplies FY2028 book value by a multiple, producing a value dated FY2028. That must not be compared directly with today’s share price.</t>
  </si>
  <si>
    <t xml:space="preserve">Implied price from PB_ROE_Model (dated FY2028)</t>
  </si>
  <si>
    <t xml:space="preserve">A value three years out</t>
  </si>
  <si>
    <t xml:space="preserve">Discounted to today (stage 1 rate, three years)</t>
  </si>
  <si>
    <t xml:space="preserve">FY2028 value / (1 + r1)^3</t>
  </si>
  <si>
    <t xml:space="preserve">Price required in three years to justify buying today</t>
  </si>
  <si>
    <t xml:space="preserve">Buying today at the required return implies this price</t>
  </si>
  <si>
    <t xml:space="preserve">Annualized return if the PB model value is realized</t>
  </si>
  <si>
    <t xml:space="preserve">If this falls below the stage 1 discount rate, the case does not clear the hurdle</t>
  </si>
  <si>
    <t xml:space="preserve">5. Sensitivity — Intrinsic Value V0 (rows: terminal ROE / columns: terminal discount rate)</t>
  </si>
  <si>
    <t xml:space="preserve">Terminal ROE \ Discount rate</t>
  </si>
  <si>
    <t xml:space="preserve">The cell closest to the current price is the terminal ROE and discount rate combination the market assumes.</t>
  </si>
  <si>
    <t xml:space="preserve">Note: Micron actual ROE averaged 7.8% over five years with a peak of 18.5%. Consensus is 44.9% for FY2028 and 29.6% for FY2029.</t>
  </si>
  <si>
    <t xml:space="preserve">6. Strengths and Limits of This Model</t>
  </si>
  <si>
    <t xml:space="preserve">Strength 1: Explicit discount rates by period reflect Micron’s actual risk shape - near-term visibility, far-term uncertainty.</t>
  </si>
  <si>
    <t xml:space="preserve">Strength 2: Everything is discounted to today, so mixing an FY2028 value with a present value cannot happen by construction.</t>
  </si>
  <si>
    <t xml:space="preserve">Strength 3: B0 is a confirmed actual (FY2025 BPS), so reliance on estimates is lower than in the P/B model.</t>
  </si>
  <si>
    <t xml:space="preserve">Limit 1: The terminal still dominates. Intrinsic value varies threefold between a terminal ROE of 15% and 30%.</t>
  </si>
  <si>
    <t xml:space="preserve">Limit 2: It takes consensus EPS and BPS as given. If the SK hynix ASP slowdown drags estimates down, this must be recalculated.</t>
  </si>
  <si>
    <t xml:space="preserve">Limit 3: Buyback effects are not reflected here (see the Buybacks tab). A large repurchase changes the BPS path.</t>
  </si>
  <si>
    <t xml:space="preserve">7. Substituting Consensus Values for Terminal ROE (terminal discount rate from B9)</t>
  </si>
  <si>
    <t xml:space="preserve">Consensus ROE is calculated on average equity while the RIM terminal formula uses opening equity, so there is a small difference. Read this directionally.</t>
  </si>
  <si>
    <t xml:space="preserve">Source of terminal ROE</t>
  </si>
  <si>
    <t xml:space="preserve">Terminal RI</t>
  </si>
  <si>
    <t xml:space="preserve">Present value</t>
  </si>
  <si>
    <t xml:space="preserve">Intrinsic value V0</t>
  </si>
  <si>
    <t xml:space="preserve">FY2026 consensus median</t>
  </si>
  <si>
    <t xml:space="preserve">FY2027 consensus median</t>
  </si>
  <si>
    <t xml:space="preserve">FY2028 consensus median</t>
  </si>
  <si>
    <t xml:space="preserve">FY2029 consensus median</t>
  </si>
  <si>
    <t xml:space="preserve">FY2028 consensus low</t>
  </si>
  <si>
    <t xml:space="preserve">FY2029 consensus low</t>
  </si>
  <si>
    <t xml:space="preserve">Five-year actual average</t>
  </si>
  <si>
    <t xml:space="preserve">Five-year actual peak (FY2022)</t>
  </si>
  <si>
    <t xml:space="preserve">In other words the market is pricing in the full consensus earnings path, a terminal ROE fixed at the final consensus year, and a 16% terminal discount rate.</t>
  </si>
  <si>
    <t xml:space="preserve">Capitalizing the FY2028 figure of 44.9% in perpetuity shows deep undervaluation, but consensus itself fades to 29.6% by FY2029. Citing consensus while ignoring that fade is inconsistent.</t>
  </si>
  <si>
    <t xml:space="preserve">Note: Using the five-year actual average of 7.8% turns terminal residual income negative and collapses intrinsic value. That is the numerical expression of memory historically failing to earn its cost of capital.</t>
  </si>
  <si>
    <t xml:space="preserve">8. Estimate Counts — How Far Out Can Consensus Be Trusted</t>
  </si>
  <si>
    <t xml:space="preserve">FY2026</t>
  </si>
  <si>
    <t xml:space="preserve">FY2027</t>
  </si>
  <si>
    <t xml:space="preserve">FY2028</t>
  </si>
  <si>
    <t xml:space="preserve">FY2029</t>
  </si>
  <si>
    <t xml:space="preserve">Revenue estimate count</t>
  </si>
  <si>
    <t xml:space="preserve">Net income estimate count</t>
  </si>
  <si>
    <t xml:space="preserve">EPS estimate count</t>
  </si>
  <si>
    <t xml:space="preserve">Input to the RIM residual income calculation</t>
  </si>
  <si>
    <t xml:space="preserve">BPS estimate count</t>
  </si>
  <si>
    <t xml:space="preserve">[*] Terminal base equity - the most important one</t>
  </si>
  <si>
    <t xml:space="preserve">ROE estimate count</t>
  </si>
  <si>
    <t xml:space="preserve">FY26: 22, FY27: 21, FY28: 16, FY29: 3</t>
  </si>
  <si>
    <t xml:space="preserve">For FY2029 there are 5 revenue estimates, 3 for net income, 4 for EPS, 2 for BPS and 3 for ROE. That is effectively a minority view.</t>
  </si>
  <si>
    <t xml:space="preserve">Even FY2028 has only 12 BPS estimates and 16 for ROE. The denominator behind the 1.91x forward P/B rests on twelve analysts.</t>
  </si>
  <si>
    <t xml:space="preserve">9. Version Excluding FY2029 — Ending the Explicit Forecast at FY2028</t>
  </si>
  <si>
    <t xml:space="preserve">If FY2029 data (2 BPS estimates, 3 for ROE) is not trustworthy, cut at FY2028 and use that equity as the terminal base.</t>
  </si>
  <si>
    <t xml:space="preserve">B0 (FY2025 actual)</t>
  </si>
  <si>
    <t xml:space="preserve">Unchanged</t>
  </si>
  <si>
    <t xml:space="preserve">Plus PV of residual income (FY2026-28 only)</t>
  </si>
  <si>
    <t xml:space="preserve">Excluding FY2029 lowers the total</t>
  </si>
  <si>
    <t xml:space="preserve">Terminal base equity (FY2028 BPS)</t>
  </si>
  <si>
    <t xml:space="preserve">Falls from $643.70 to $437.94</t>
  </si>
  <si>
    <t xml:space="preserve">Applied discount factor (to FY2028)</t>
  </si>
  <si>
    <t xml:space="preserve">Rises from 0.6084 to 0.7118</t>
  </si>
  <si>
    <t xml:space="preserve">[*] Input cell. Default is the FY2029 consensus of 29.6%.</t>
  </si>
  <si>
    <t xml:space="preserve">(terminal ROE - terminal discount rate) x FY2028 BPS</t>
  </si>
  <si>
    <t xml:space="preserve">Intrinsic value V0 (truncated at FY2028)</t>
  </si>
  <si>
    <t xml:space="preserve">[*] Result</t>
  </si>
  <si>
    <t xml:space="preserve">Reference: version including FY2029</t>
  </si>
  <si>
    <t xml:space="preserve">Result from section 3</t>
  </si>
  <si>
    <t xml:space="preserve">Difference (truncated less full)</t>
  </si>
  <si>
    <t xml:space="preserve">Negative means truncation is the more conservative choice</t>
  </si>
  <si>
    <t xml:space="preserve">10. Truncated Version Sensitivity — by Terminal ROE (discount rate from B9)</t>
  </si>
  <si>
    <t xml:space="preserve">Terminal ROE</t>
  </si>
  <si>
    <t xml:space="preserve">Difference versus the version including FY2029</t>
  </si>
  <si>
    <t xml:space="preserve">FY2028 consensus median (16 estimates)</t>
  </si>
  <si>
    <t xml:space="preserve">The level implied by the current price</t>
  </si>
  <si>
    <t xml:space="preserve">FY2029 consensus median (3 estimates)</t>
  </si>
  <si>
    <t xml:space="preserve">On the same terminal ROE, excluding FY2029 lowers intrinsic value. Two reasons:</t>
  </si>
  <si>
    <t xml:space="preserve">  (1) The FY2029 residual income, worth about $41 in present value, disappears.</t>
  </si>
  <si>
    <t xml:space="preserve">  (2) Terminal base equity falls from FY2029 BPS of $643.70 to FY2028 BPS of $437.94, a 32% reduction, shrinking terminal value proportionally.</t>
  </si>
  <si>
    <t xml:space="preserve">Dropping FY2029 because estimate coverage is thin is therefore a bearish move, not a bullish one. It discards both the unfavourable ROE fade and the favourable equity accumulation, and the latter is larger.</t>
  </si>
  <si>
    <t xml:space="preserve">Note: Cherry-picking consensus years makes the answer follow your preference. Decide the cut-off before calculating, and accept both the favourable and unfavourable figures for that year.</t>
  </si>
  <si>
    <t xml:space="preserve">11. [*] Adopted Structure — FY2026-28 Consensus Plus a 20-30% Terminal ROE Band</t>
  </si>
  <si>
    <t xml:space="preserve">Explicit forecast: FY2026-28 (31-47 EPS estimates, 12-16 for BPS - adequate coverage). Terminal: FY2029 onward, with ROE set directly at 20-30%.</t>
  </si>
  <si>
    <t xml:space="preserve">FY2029 consensus (2 BPS estimates, 3 for ROE) is not used as an input. FY2028 book value of $437.94 serves as the terminal base equity instead.</t>
  </si>
  <si>
    <t xml:space="preserve">B0 (FY2025 actual BPS)</t>
  </si>
  <si>
    <t xml:space="preserve">+ PV of residual income, FY2026-28</t>
  </si>
  <si>
    <t xml:space="preserve">Terminal base equity (FY2028 BPS, 12 estimates)</t>
  </si>
  <si>
    <t xml:space="preserve">Discount factor to FY2028 (stage 1 rate, three years)</t>
  </si>
  <si>
    <t xml:space="preserve">Fixed component subtotal (B0 + RI)</t>
  </si>
  <si>
    <t xml:space="preserve">Intrinsic value V0 — rows: terminal ROE (20-30%) / columns: terminal discount rate</t>
  </si>
  <si>
    <t xml:space="preserve">Break-even — terminal ROE required to justify the current price</t>
  </si>
  <si>
    <t xml:space="preserve">Terminal discount rate</t>
  </si>
  <si>
    <t xml:space="preserve">Required terminal ROE</t>
  </si>
  <si>
    <t xml:space="preserve">Inside the 20-30% band?</t>
  </si>
  <si>
    <t xml:space="preserve">Conclusion</t>
  </si>
  <si>
    <t xml:space="preserve">1. For the current price to hold within a 20-30% terminal ROE band, the terminal discount rate must be roughly 12-13% or lower.</t>
  </si>
  <si>
    <t xml:space="preserve">2. At a 16% discount rate the required ROE is about 36%, outside the band. A conservative ROE paired with a normal discount rate does not explain the current price.</t>
  </si>
  <si>
    <t xml:space="preserve">3. Conversely, if a 12% terminal discount rate can be justified - the Nomura argument that long-term agreements move memory out of the cyclical bucket - the current price is met around the 25% midpoint of the band.</t>
  </si>
  <si>
    <t xml:space="preserve">4. The judgment therefore collapses from what ROE to assume into whether the terminal discount rate can be lowered to 12%. The Dec 9 buyback announcement and the LTA terms disclosure will answer that.</t>
  </si>
  <si>
    <t xml:space="preserve">5. For reference, Micron actual ROE averaged 7.8% over five years with a peak of 18.5%. A 20-30% band already sits above the historical high, despite being labelled conservative.</t>
  </si>
  <si>
    <t xml:space="preserve">12. [*] Why a Current 66% ROE Cannot Be Compared Directly With a 20-30% Terminal ROE</t>
  </si>
  <si>
    <t xml:space="preserve">ROE is net income divided by equity. Micron’s denominator grows ninefold in three years, so the same ROE demands a completely different absolute profit.</t>
  </si>
  <si>
    <t xml:space="preserve">Book value per share (denominator)</t>
  </si>
  <si>
    <t xml:space="preserve">Implied EPS</t>
  </si>
  <si>
    <t xml:space="preserve">Implied net income ($m)</t>
  </si>
  <si>
    <t xml:space="preserve">FY2025 actual</t>
  </si>
  <si>
    <t xml:space="preserve">Confirmed</t>
  </si>
  <si>
    <t xml:space="preserve">TTM (current)</t>
  </si>
  <si>
    <t xml:space="preserve">22 estimates</t>
  </si>
  <si>
    <t xml:space="preserve">21 estimates</t>
  </si>
  <si>
    <t xml:space="preserve">16 estimates</t>
  </si>
  <si>
    <t xml:space="preserve">3 estimates</t>
  </si>
  <si>
    <t xml:space="preserve">ROE falls from 84% to 30% while net income actually rises. The decline reflects equity compounding in the denominator, not shrinking profit.</t>
  </si>
  <si>
    <t xml:space="preserve">Translating terminal ROE into absolute annual net income, on FY2028 equity of $437.94</t>
  </si>
  <si>
    <t xml:space="preserve">Implied annual net income ($m)</t>
  </si>
  <si>
    <t xml:space="preserve">Comparison</t>
  </si>
  <si>
    <t xml:space="preserve">Multiple</t>
  </si>
  <si>
    <t xml:space="preserve">versus TTM net income</t>
  </si>
  <si>
    <t xml:space="preserve">Conservative band, low</t>
  </si>
  <si>
    <t xml:space="preserve">Conservative band, midpoint</t>
  </si>
  <si>
    <t xml:space="preserve">Conservative band, high - roughly TSMC territory</t>
  </si>
  <si>
    <t xml:space="preserve">FY2028 consensus ROE</t>
  </si>
  <si>
    <t xml:space="preserve">Current TTM ROE</t>
  </si>
  <si>
    <t xml:space="preserve">A 30% terminal ROE means earning roughly $132B of net income every year in perpetuity, growing at 4% annually. That is 2.6x the TTM figure of $50.5B.</t>
  </si>
  <si>
    <t xml:space="preserve">The current 66% TTM ROE produces only $50.5B because equity is just $89 per share. Once equity reaches $438, that same 66% would require $327B - 1.7x the highest consensus estimate.</t>
  </si>
  <si>
    <t xml:space="preserve">Summary</t>
  </si>
  <si>
    <t xml:space="preserve">1. The intuition that 20-30% looks conservative against a current 66% only holds if the denominator is fixed. Micron’s denominator grows ninefold in three years.</t>
  </si>
  <si>
    <t xml:space="preserve">2. Consensus itself fades ROE from 84% to 30%, yet net income rises from $84B to $160B over the same period. Falling ROE is not falling profit.</t>
  </si>
  <si>
    <t xml:space="preserve">3. A 30% terminal ROE implies generating $132B a year in perpetuity. That is a TSMC-level return on capital and assumes Micron joins the high-margin, moated, structurally growing cohort Goldman describes.</t>
  </si>
  <si>
    <t xml:space="preserve">4. That assumption is defensible. But calling it conservative is true only relative to consensus. Against Micron’s own history - a 7.8% average and an 18.5% peak - it is optimistic.</t>
  </si>
  <si>
    <t xml:space="preserve">5. Large buybacks shrink the denominator and keep ROE high, but they also shrink the terminal base equity. The two effects offset, so raising ROE alone double-counts (see the Buybacks tab).</t>
  </si>
  <si>
    <t xml:space="preserve">(11) Feasibility of Analyst Price Targets — Factor Decomposition</t>
  </si>
  <si>
    <t xml:space="preserve">1. Back-solving What Each Target Requires</t>
  </si>
  <si>
    <t xml:space="preserve">Analyst</t>
  </si>
  <si>
    <t xml:space="preserve">Price target</t>
  </si>
  <si>
    <t xml:space="preserve">Date published</t>
  </si>
  <si>
    <t xml:space="preserve">FY27 P/B</t>
  </si>
  <si>
    <t xml:space="preserve">FY28 P/B</t>
  </si>
  <si>
    <t xml:space="preserve">Average FY26-27 P/E</t>
  </si>
  <si>
    <t xml:space="preserve">Required terminal ROE at 16%</t>
  </si>
  <si>
    <t xml:space="preserve">Required terminal ROE at 12%</t>
  </si>
  <si>
    <t xml:space="preserve">Cantor Fitzgerald</t>
  </si>
  <si>
    <t xml:space="preserve">2026-06-29</t>
  </si>
  <si>
    <t xml:space="preserve">Barclays</t>
  </si>
  <si>
    <t xml:space="preserve">2026-06-26</t>
  </si>
  <si>
    <t xml:space="preserve">Needham</t>
  </si>
  <si>
    <t xml:space="preserve">UBS</t>
  </si>
  <si>
    <t xml:space="preserve">2026-05-27</t>
  </si>
  <si>
    <t xml:space="preserve">TD Cowen</t>
  </si>
  <si>
    <t xml:space="preserve">2026-06-25</t>
  </si>
  <si>
    <t xml:space="preserve">Wells Fargo</t>
  </si>
  <si>
    <t xml:space="preserve">Rosenblatt</t>
  </si>
  <si>
    <t xml:space="preserve">Citigroup</t>
  </si>
  <si>
    <t xml:space="preserve">Wolfe Research</t>
  </si>
  <si>
    <t xml:space="preserve">2026-06-11</t>
  </si>
  <si>
    <t xml:space="preserve">Piper Sandler</t>
  </si>
  <si>
    <t xml:space="preserve">2026-01-07</t>
  </si>
  <si>
    <t xml:space="preserve">(Reference) 45-analyst average</t>
  </si>
  <si>
    <t xml:space="preserve">2026-07-28</t>
  </si>
  <si>
    <t xml:space="preserve">Reference — historical and theoretical ceilings</t>
  </si>
  <si>
    <t xml:space="preserve">Five-year average P/B</t>
  </si>
  <si>
    <t xml:space="preserve">FY21-25 actual</t>
  </si>
  <si>
    <t xml:space="preserve">Five-year peak P/B</t>
  </si>
  <si>
    <t xml:space="preserve">BofA two-year-forward historical median</t>
  </si>
  <si>
    <t xml:space="preserve">BofA report, May 29</t>
  </si>
  <si>
    <t xml:space="preserve">Target P/E cited by Goldman</t>
  </si>
  <si>
    <t xml:space="preserve">Explicitly described as the average Micron upcycle multiple</t>
  </si>
  <si>
    <t xml:space="preserve">Top of the conservative terminal ROE band</t>
  </si>
  <si>
    <t xml:space="preserve">User-set</t>
  </si>
  <si>
    <t xml:space="preserve">Five-year actual peak ROE</t>
  </si>
  <si>
    <t xml:space="preserve">2. Feasibility Factors — Six Tests</t>
  </si>
  <si>
    <t xml:space="preserve">Factor</t>
  </si>
  <si>
    <t xml:space="preserve">Detail</t>
  </si>
  <si>
    <t xml:space="preserve">Supporting figures</t>
  </si>
  <si>
    <t xml:space="preserve">Feasibility</t>
  </si>
  <si>
    <t xml:space="preserve">1. Timing validity</t>
  </si>
  <si>
    <t xml:space="preserve">Nine of ten were published between May 27 and Jun 29, 2026, six of them between Jun 25 and 29 - right around the $1,255 peak on Jun 25.</t>
  </si>
  <si>
    <t xml:space="preserve">None reflect the July events - the CXMT listing, domestic Chinese DUV, the SK hynix miss, or KOSPI falling 44%</t>
  </si>
  <si>
    <t xml:space="preserve">Very low</t>
  </si>
  <si>
    <t xml:space="preserve">2. Required P/B</t>
  </si>
  <si>
    <t xml:space="preserve">Every target requires an FY2028 P/B of 2.85-4.57x</t>
  </si>
  <si>
    <t xml:space="preserve">Above the five-year band of 1.26-2.53x, the 1.95x average and the BofA median of 1.54x - all of them</t>
  </si>
  <si>
    <t xml:space="preserve">3. Required terminal ROE</t>
  </si>
  <si>
    <t xml:space="preserve">Requires 51.8-80.7% at a 16% discount rate, and still 35.9-55.1% at 12%</t>
  </si>
  <si>
    <t xml:space="preserve">Exceeds the 30% conservative band ceiling, the 18.5% historical peak and the 7.8% average</t>
  </si>
  <si>
    <t xml:space="preserve">4. Robustness of the underlying estimates</t>
  </si>
  <si>
    <t xml:space="preserve">FY2028 rests on 12 BPS and 16 ROE estimates; FY2029 on 2 and 3</t>
  </si>
  <si>
    <t xml:space="preserve">BPS estimates were revised up 2.6-3.2x within two months (BofA moved from 3.28x to 1.91x)</t>
  </si>
  <si>
    <t xml:space="preserve">5. Structural lag in price targets</t>
  </si>
  <si>
    <t xml:space="preserve">Needham went from $500 to $1,550 on Jun 22 and to $1,650 three days later. UBS moved from $535 to $1,625, up 204%.</t>
  </si>
  <si>
    <t xml:space="preserve">A target is next-year EPS times a multiple, and EPS is a function of current DRAM prices - so it lags by definition</t>
  </si>
  <si>
    <t xml:space="preserve">6. Dispersion</t>
  </si>
  <si>
    <t xml:space="preserve">The full range spans $400 to $2,000, a factor of five. Excluding Piper it is still $1,250 to $2,000, a factor of 1.6.</t>
  </si>
  <si>
    <t xml:space="preserve">Direction scores of 54-79 on the source screen - even directional accuracy is limited</t>
  </si>
  <si>
    <t xml:space="preserve">3. Overall Verdict</t>
  </si>
  <si>
    <t xml:space="preserve">1. These targets are less wrong than expired. Against the information set of late June they were internally coherent.</t>
  </si>
  <si>
    <t xml:space="preserve">2. Even the lowest target, Wolfe at $1,250, requires an FY2028 P/B of 2.85x, above the five-year peak of 2.53x. Not a single target falls inside the historical band.</t>
  </si>
  <si>
    <t xml:space="preserve">3. Translating into terminal ROE makes it starker. Even at a 12% discount rate - the Nomura bull assumption - $1,250 requires 35.9% and $2,000 requires 55.1% in perpetuity. Both exceed the agreed 20-30% conservative band.</t>
  </si>
  <si>
    <t xml:space="preserve">4. Using these targets as support therefore requires separately defending terminal assumptions more optimistic than consensus. The targets do not do that work for you.</t>
  </si>
  <si>
    <t xml:space="preserve">5. Practical conclusion: treat targets not as an answer to how high the stock goes, but as material for back-solving what would have to be true. Columns 7 and 8 above are that back-solve.</t>
  </si>
  <si>
    <t xml:space="preserve">6. Piper Sandler at $400 dates from Jan 7, seven months ago. It should not be cited as the low, and by the same logic it can be set aside - a stale target is not information.</t>
  </si>
  <si>
    <t xml:space="preserve">Note: Targets and publication dates come from a screen supplied by the user, retrieved 2026-07-29. Overall, Direction and Price Scores are proprietary metrics of that service and their methodology has not been verified.</t>
  </si>
  <si>
    <t xml:space="preserve">(12) Revenue Mix Path — From Wafer Allocation to Revenue Share</t>
  </si>
  <si>
    <t xml:space="preserve">Physical layer (wafer/bit) is anchored on TrendForce actuals. Price layer (ASP premium) is a [*] input lever. The 53/23/24 split is an FY2026 snapshot, not a constant.</t>
  </si>
  <si>
    <t xml:space="preserve">1. Inputs — Physical Layer</t>
  </si>
  <si>
    <t xml:space="preserve">HBM wafer input share (top 3 suppliers)</t>
  </si>
  <si>
    <t xml:space="preserve">FY26-27: TrendForce, Jun 2026 (18%/22%/30% for 2025/26/27). FY28-29: extrapolated [ESTIMATE]</t>
  </si>
  <si>
    <t xml:space="preserve">Trade ratio (wafer area per HBM bit vs commodity)</t>
  </si>
  <si>
    <t xml:space="preserve">FY26-27: back-solved from TrendForce wafer and bit shares. Reflects HBM3 3:1 to HBM4 4:1 trend [ESTIMATE]</t>
  </si>
  <si>
    <t xml:space="preserve">DRAM share of total revenue (vs NAND)</t>
  </si>
  <si>
    <t xml:space="preserve">FY2026: actual per handoff note (commodity 53% + HBM 23%). Later years assume widening DRAM share [ESTIMATE]</t>
  </si>
  <si>
    <t xml:space="preserve">2. [*] ASP Premium — This Single Input Dominates the Result</t>
  </si>
  <si>
    <t xml:space="preserve">[*] Case selector (1/2/3) — applies from FY2027 onward</t>
  </si>
  <si>
    <t xml:space="preserve">Three sources (TrendForce DRAM revenue, bit share, Micron HBM TAM) disagree, so this is left as a band</t>
  </si>
  <si>
    <t xml:space="preserve">  1 = Conservative — consistent with Micron HBM TAM guidance</t>
  </si>
  <si>
    <t xml:space="preserve">HBM TAM $70B (2027 interpolated) / DRAM $903.3B = 7.8%; bit share 13% implies 0.56x</t>
  </si>
  <si>
    <t xml:space="preserve">  2 = Mid — partial contract price recovery</t>
  </si>
  <si>
    <t xml:space="preserve">Assumes partial realization of TrendForce "HBM contract prices to surge multiples higher in 2027" [ESTIMATE]</t>
  </si>
  <si>
    <t xml:space="preserve">  3 = Status quo — back-solved from FY2026 actuals</t>
  </si>
  <si>
    <t xml:space="preserve">Back-solved from Micron current mix: HBM 23% of revenue vs 9% of bits implies 4.39x</t>
  </si>
  <si>
    <t xml:space="preserve">Applied premium (by year)</t>
  </si>
  <si>
    <t xml:space="preserve">FY2026 is fixed at the back-solved 4.39x so the actual 53/23/24 mix is always reproduced. The case selector applies from FY2027 onward.</t>
  </si>
  <si>
    <t xml:space="preserve">3. Derived — Bit Share</t>
  </si>
  <si>
    <t xml:space="preserve">HBM bit share = (w/k) / ((w/k) + (1-w))</t>
  </si>
  <si>
    <t xml:space="preserve">Check: TrendForce published bit share</t>
  </si>
  <si>
    <t xml:space="preserve">—</t>
  </si>
  <si>
    <t xml:space="preserve">Near zero means the physical-layer model reconciles with published data</t>
  </si>
  <si>
    <t xml:space="preserve">4. Derived — Revenue Mix</t>
  </si>
  <si>
    <t xml:space="preserve">HBM share of DRAM revenue</t>
  </si>
  <si>
    <t xml:space="preserve">Commodity DRAM, % of total revenue</t>
  </si>
  <si>
    <t xml:space="preserve">HBM, % of total revenue</t>
  </si>
  <si>
    <t xml:space="preserve">NAND, % of total revenue</t>
  </si>
  <si>
    <t xml:space="preserve">Sum check</t>
  </si>
  <si>
    <t xml:space="preserve">5. Check — Reconciliation to FY2026 Actual Mix (should match exactly under Case 3)</t>
  </si>
  <si>
    <t xml:space="preserve">FY2026 actual (handoff note, section 3.5)</t>
  </si>
  <si>
    <t xml:space="preserve">FY2026 derived (current case)</t>
  </si>
  <si>
    <t xml:space="preserve">A zero difference under Case 3 (4.39x) confirms the back-solve is exact</t>
  </si>
  <si>
    <t xml:space="preserve">Note: The physical layer (rows 6-7) rests on TrendForce actuals and is relatively firm. The price layer (rows 11-15) is currently the most volatile variable in the industry.</t>
  </si>
  <si>
    <t xml:space="preserve">Note: Across a premium of 0.56x to 4.39x, HBM moves from roughly 8% to 35% of total revenue. That range is the model uncertainty.</t>
  </si>
  <si>
    <t xml:space="preserve">Note: Resolution point is the HBM4 annual contract price negotiation in Nov-Dec 2026. Entering the outcome in rows 11-14 recalculates every downstream tab.</t>
  </si>
  <si>
    <t xml:space="preserve">Sources: TrendForce press releases 2026-05-29 and 2026-06-02; Micron FY26 Q1 earnings call (Dec 2025). Not investment advice.</t>
  </si>
  <si>
    <t xml:space="preserve">Revision 2026-07-31: FY2026 premium fixed at 4.39x. The actual mix (53/23/24) must always be reproduced so the TTM shares on the ChinaRisk tab stay correct.</t>
  </si>
  <si>
    <t xml:space="preserve">(13) Segment Margins to Blended EBIT Margin  [*] Cross-check 1</t>
  </si>
  <si>
    <t xml:space="preserve">Applies segment operating margins to the MixPath weights to derive a blended margin, then cross-checks it against consensus.</t>
  </si>
  <si>
    <t xml:space="preserve">1. [*] Segment Operating Margins (OPM)</t>
  </si>
  <si>
    <t xml:space="preserve">Basis / Note</t>
  </si>
  <si>
    <t xml:space="preserve">Commodity DRAM OPM</t>
  </si>
  <si>
    <t xml:space="preserve">Derived from (17) ASP Drivers; manual entry retired</t>
  </si>
  <si>
    <t xml:space="preserve">[*] Cycle path. FY26-27 is the cleanroom shortage peak (SK hynix company-wide OPM of 72% as reference). FY28 reflects new capacity landing (Micron Hiroshima, M15X, P4/P5, CXMT 600k). FY29 applies the consensus gross margin decline of -16.5%.</t>
  </si>
  <si>
    <t xml:space="preserve">[*] Key lever. FY2026 sits below commodity due to contract lag (confirmed by Micron CEO). FY27-28 reflect contract repricing. FY29 is a modest step down.</t>
  </si>
  <si>
    <t xml:space="preserve">NAND OPM</t>
  </si>
  <si>
    <t xml:space="preserve">TrendForce: NAND supply eases in 2027, so stepped down gradually [ESTIMATE]</t>
  </si>
  <si>
    <t xml:space="preserve">2. Derived — Blended EBIT Margin</t>
  </si>
  <si>
    <t xml:space="preserve">Commodity DRAM share (from MixPath)</t>
  </si>
  <si>
    <t xml:space="preserve">HBM share (from MixPath)</t>
  </si>
  <si>
    <t xml:space="preserve">NAND share (from MixPath)</t>
  </si>
  <si>
    <t xml:space="preserve">Blended EBIT margin</t>
  </si>
  <si>
    <t xml:space="preserve">3. [*] Cross-check 1 — Consensus EBIT Margin</t>
  </si>
  <si>
    <t xml:space="preserve">Consensus EBIT margin (median)</t>
  </si>
  <si>
    <t xml:space="preserve">Derived EBIT margin</t>
  </si>
  <si>
    <t xml:space="preserve">Implied achievement rate (derived / consensus)</t>
  </si>
  <si>
    <t xml:space="preserve">Feeding this into the ConsensusValuation achievement rate replaces an arbitrary haircut with a grounded one</t>
  </si>
  <si>
    <t xml:space="preserve">Gap (pp)</t>
  </si>
  <si>
    <t xml:space="preserve">4. Back-solve — What HBM OPM Would Consensus Require?</t>
  </si>
  <si>
    <t xml:space="preserve">Required HBM OPM</t>
  </si>
  <si>
    <t xml:space="preserve">Current HBM OPM input</t>
  </si>
  <si>
    <t xml:space="preserve">Difference (pp)</t>
  </si>
  <si>
    <t xml:space="preserve">Note: Row 26 exposes the hidden premise in consensus. The unstated assumption about how far HBM margins rise becomes visible here.</t>
  </si>
  <si>
    <t xml:space="preserve">Note: If the required HBM OPM exceeds 100%, or sits far above commodity OPM, consensus is not compatible with the current mix assumptions.</t>
  </si>
  <si>
    <t xml:space="preserve">Note: Resolution point is the HBM4 annual contract price negotiation in Nov-Dec 2026 (Goldman +44-50% vs consensus +34%).</t>
  </si>
  <si>
    <t xml:space="preserve">Warning: The row 26 back-solve implies an FY2027 commodity OPM above 99%. Either the consensus FY2027 EBIT margin of 82.3% is too high, or the HBM OPM assumption is too low.</t>
  </si>
  <si>
    <t xml:space="preserve">Note: Holding commodity OPM flat pushes the FY2029 achievement rate above 100%, making the model more optimistic than consensus. The cycle turn must be entered year by year.</t>
  </si>
  <si>
    <t xml:space="preserve">(17) ASP Drivers — Deriving OPM Instead of Entering It (added 2026-07-31)</t>
  </si>
  <si>
    <t xml:space="preserve">HBM OPM is no longer entered directly. When the HBM contract ASP rises, OPM rises with it. Under a fixed-cost structure unit cost is unchanged, so the ASP move flows straight into margin.</t>
  </si>
  <si>
    <t xml:space="preserve">[*] Commodity DRAM spot ASP index</t>
  </si>
  <si>
    <t xml:space="preserve">FY2026 = 1.0 base. FY28 reflects new capacity landing; FY29 is fitted to the consensus gross margin decline</t>
  </si>
  <si>
    <t xml:space="preserve">Per TrendForce, HBM contract prices surge multiples higher in 2027. FY2028 at 2.0x means double the FY2026 level [ESTIMATE]</t>
  </si>
  <si>
    <t xml:space="preserve">TrendForce: NAND supply eases in 2027 [ESTIMATE]</t>
  </si>
  <si>
    <t xml:space="preserve">Base OPM (at ASP index = 1.00, i.e. the FY2026 level)</t>
  </si>
  <si>
    <t xml:space="preserve">  [*] Commodity DRAM base OPM</t>
  </si>
  <si>
    <t xml:space="preserve">Stated in handoff note section 4.4 [UNVERIFIED]</t>
  </si>
  <si>
    <t xml:space="preserve">  [*] HBM base OPM</t>
  </si>
  <si>
    <t xml:space="preserve">Reflects the 2026 contract-lag state. Micron CEO confirmed DDR5 margins exceed HBM.</t>
  </si>
  <si>
    <t xml:space="preserve">  [*] NAND base OPM</t>
  </si>
  <si>
    <t xml:space="preserve">[ESTIMATE]</t>
  </si>
  <si>
    <t xml:space="preserve">Formula: OPM = 1 - (1 - base OPM) / ASP index.  Rows 6-8 above read this result.</t>
  </si>
  <si>
    <t xml:space="preserve">Note: An ASP index below 1.0 pushes OPM below base. Once the index falls below (1 - base OPM), the segment swings to a loss.</t>
  </si>
  <si>
    <t xml:space="preserve">Note: Supply does not mechanically set HBM ASP. HBM has no spot market; prices are set in annual bilateral negotiations.</t>
  </si>
  <si>
    <t xml:space="preserve">Note: For that reason supply is not wired to ASP. Row 41 is where the negotiated outcome is entered; the Nov-Dec HBM4 contract price is the observation.</t>
  </si>
  <si>
    <t xml:space="preserve">(14) ROE Build-up — Two-Factor DuPont  [*] Cross-check 2</t>
  </si>
  <si>
    <t xml:space="preserve">ROE = net margin x equity turnover. Margin comes from SegmentMargin; equity comes from consensus BPS.</t>
  </si>
  <si>
    <t xml:space="preserve">1. Inputs</t>
  </si>
  <si>
    <t xml:space="preserve">[*] Effective tax rate</t>
  </si>
  <si>
    <t xml:space="preserve">Back-solved from consensus pretax vs net income for FY26-28 (14.9% / 15.2% / 13.7%), averaged</t>
  </si>
  <si>
    <t xml:space="preserve">Note: The net cash position generates interest income, which is conservatively ignored. Actual ROE will run slightly above the derived figure.</t>
  </si>
  <si>
    <t xml:space="preserve">2. Derivation</t>
  </si>
  <si>
    <t xml:space="preserve">Revenue ($m, consensus)</t>
  </si>
  <si>
    <t xml:space="preserve">Blended EBIT margin (from SegmentMargin)</t>
  </si>
  <si>
    <t xml:space="preserve">Derived net margin</t>
  </si>
  <si>
    <t xml:space="preserve">Derived net income ($m)</t>
  </si>
  <si>
    <t xml:space="preserve">Opening BPS</t>
  </si>
  <si>
    <t xml:space="preserve">Closing BPS</t>
  </si>
  <si>
    <t xml:space="preserve">Average equity ($m)</t>
  </si>
  <si>
    <t xml:space="preserve">Derived ROE</t>
  </si>
  <si>
    <t xml:space="preserve">3. [*] Cross-check 2 — Consensus ROE</t>
  </si>
  <si>
    <t xml:space="preserve">Consensus ROE (median)</t>
  </si>
  <si>
    <t xml:space="preserve">Consensus ROE, number of estimates</t>
  </si>
  <si>
    <t xml:space="preserve">Note: Consensus ROE, EPS and BPS come from different analyst samples (for FY2028: ROE 16, EPS 31, BPS 12).</t>
  </si>
  <si>
    <t xml:space="preserve">Note: Consequently consensus net income divided by consensus average equity does not equal consensus ROE. Use this cross-check directionally, not for decimal agreement.</t>
  </si>
  <si>
    <t xml:space="preserve">Note: A large gap means one of two things - the segment margin assumptions are wrong, or the 12-estimate consensus BPS partially reflects buybacks.</t>
  </si>
  <si>
    <t xml:space="preserve">4. [*] Buyback Adjustment — Correcting the Equity Balloon</t>
  </si>
  <si>
    <t xml:space="preserve">Consensus net debt (negative = net cash, $m)</t>
  </si>
  <si>
    <t xml:space="preserve">FY2029 net cash of $318.9B equals 110% of revenue, implying zero buybacks</t>
  </si>
  <si>
    <t xml:space="preserve">[*] Cumulative buyback spend ($m)</t>
  </si>
  <si>
    <t xml:space="preserve">[*] Assumes buybacks begin after the CHIPS restriction lifts on Dec 9. Estimates range from BofA $31.7B to UBS $380B; default sits in between</t>
  </si>
  <si>
    <t xml:space="preserve">Average buyback deduction</t>
  </si>
  <si>
    <t xml:space="preserve">Adjusted average equity ($m)</t>
  </si>
  <si>
    <t xml:space="preserve">[*] Adjusted ROE</t>
  </si>
  <si>
    <t xml:space="preserve">The TerminalROE tab reads this row</t>
  </si>
  <si>
    <t xml:space="preserve">   ROE before buybacks (reference)</t>
  </si>
  <si>
    <t xml:space="preserve">   Buyback effect (pp)</t>
  </si>
  <si>
    <t xml:space="preserve">Note: The consensus BPS median (437.94) sits 5.9% above the mean (413.67). Some analysts already model buybacks and some do not.</t>
  </si>
  <si>
    <t xml:space="preserve">Note: Consensus BPS is therefore a blended figure. Leaving row 33 at zero is the extreme assumption that no buybacks occur at all.</t>
  </si>
  <si>
    <t xml:space="preserve">Note: Buybacks do not change net income, only the denominator, so they lift ROE directly. Resolution point: the CHIPS restriction announcement on 2026-12-09.</t>
  </si>
  <si>
    <t xml:space="preserve">(15) Terminal ROE Build-up — Generating the RIM Input</t>
  </si>
  <si>
    <t xml:space="preserve">Terminal ROE is derived from mix and margins instead of being entered by hand. RIM_3Stage cell B10 reads B27 on this tab.</t>
  </si>
  <si>
    <t xml:space="preserve">1. Anchor — FY2029 Derived Value (from ROE_Build)</t>
  </si>
  <si>
    <t xml:space="preserve">FY2029 derived ROE</t>
  </si>
  <si>
    <t xml:space="preserve">Buyback-adjusted ROE (ROE_Build row 36). Final year of the explicit forecast.</t>
  </si>
  <si>
    <t xml:space="preserve">FY2028 derived ROE (reference)</t>
  </si>
  <si>
    <t xml:space="preserve">FY2029 HBM share of total revenue (from MixPath)</t>
  </si>
  <si>
    <t xml:space="preserve">2. Cycle Composition — Terminal Is a Through-Cycle Average, Not a Single Year</t>
  </si>
  <si>
    <t xml:space="preserve">[*] Weight on peak years</t>
  </si>
  <si>
    <t xml:space="preserve">Assumes one peak year in a four-year cycle</t>
  </si>
  <si>
    <t xml:space="preserve">[*] Weight on mid years</t>
  </si>
  <si>
    <t xml:space="preserve">Two transition years, rising and falling</t>
  </si>
  <si>
    <t xml:space="preserve">[*] Weight on trough years</t>
  </si>
  <si>
    <t xml:space="preserve">One downturn year</t>
  </si>
  <si>
    <t xml:space="preserve">Base ROE (mid-cycle) = FY2029 derived</t>
  </si>
  <si>
    <t xml:space="preserve">[*] Peak multiple (vs base)</t>
  </si>
  <si>
    <t xml:space="preserve">History: peak 18.5% / mid-year average 15.7% = 1.18x. Allowed up to 1.5x to stay conservative.</t>
  </si>
  <si>
    <t xml:space="preserve">Peak ROE</t>
  </si>
  <si>
    <t xml:space="preserve">3. [*] Trough ROE — Where HBM Contracts Provide Downside Support</t>
  </si>
  <si>
    <t xml:space="preserve">Spot-exposed share</t>
  </si>
  <si>
    <t xml:space="preserve">Commodity DRAM plus NAND. Prices reprice immediately on spot.</t>
  </si>
  <si>
    <t xml:space="preserve">Contract-fixed share (= HBM revenue share)</t>
  </si>
  <si>
    <t xml:space="preserve">MixPath FY2029 HBM share of total revenue</t>
  </si>
  <si>
    <t xml:space="preserve">[*] Trough ROE, spot-exposed portion</t>
  </si>
  <si>
    <t xml:space="preserve">FY2023 actual of -12.4%. Revenue fell 49.5% and gross margin went to -9.1% on inventory write-downs.</t>
  </si>
  <si>
    <t xml:space="preserve">[*] Trough ROE, contract-fixed portion</t>
  </si>
  <si>
    <t xml:space="preserve">[*] Critical assumption. Volume is locked but price rolls annually - can this stay profitable? Zero observations exist.</t>
  </si>
  <si>
    <t xml:space="preserve">Trough ROE</t>
  </si>
  <si>
    <t xml:space="preserve">   Reference: without contract support (prior regime)</t>
  </si>
  <si>
    <t xml:space="preserve">4. [*] Result — The Cell RIM_3Stage Reads</t>
  </si>
  <si>
    <t xml:space="preserve">Derived terminal ROE</t>
  </si>
  <si>
    <t xml:space="preserve">peak weight x peak ROE + mid weight x base ROE + trough weight x trough ROE</t>
  </si>
  <si>
    <t xml:space="preserve">Conservative band (20-30%) test</t>
  </si>
  <si>
    <t xml:space="preserve">Reference: terminal ROE without contract support</t>
  </si>
  <si>
    <t xml:space="preserve">Contribution of the HBM contract structure (pp)</t>
  </si>
  <si>
    <t xml:space="preserve">This is the quantified size of the claim that contracts de-cyclicalize the business</t>
  </si>
  <si>
    <t xml:space="preserve">5. Historical Check — Does This Method Reproduce the Record?</t>
  </si>
  <si>
    <t xml:space="preserve">  FY2021 ROE</t>
  </si>
  <si>
    <t xml:space="preserve">  FY2022 ROE (peak)</t>
  </si>
  <si>
    <t xml:space="preserve">  FY2023 ROE (trough)</t>
  </si>
  <si>
    <t xml:space="preserve">  FY2024 ROE</t>
  </si>
  <si>
    <t xml:space="preserve">  FY2025 ROE</t>
  </si>
  <si>
    <t xml:space="preserve">  Five-year simple average</t>
  </si>
  <si>
    <t xml:space="preserve">  Average excluding FY2023 and FY2024</t>
  </si>
  <si>
    <t xml:space="preserve">Excluding those two years gives 16.6%. If the contract regime removes them, this is the anchor.</t>
  </si>
  <si>
    <t xml:space="preserve">  This method applied to history (assuming zero contract share)</t>
  </si>
  <si>
    <t xml:space="preserve">Comes out above the five-year simple average of 7.8% because downturn years were 40% of that window</t>
  </si>
  <si>
    <t xml:space="preserve">6. Sensitivity — Terminal ROE (rows: contract trough ROE / columns: FY2029 HBM revenue share)</t>
  </si>
  <si>
    <t xml:space="preserve">Contract trough ROE \ HBM share</t>
  </si>
  <si>
    <t xml:space="preserve">Current selection</t>
  </si>
  <si>
    <t xml:space="preserve">Note: Row 44 (contract trough at -12.4%) is the case where contracts do nothing. The gap between that row and the others is the value of the contract structure.</t>
  </si>
  <si>
    <t xml:space="preserve">Note: Moving toward the lower left is the bull case that contracts de-cyclicalize earnings. The upper right is not supported by observation.</t>
  </si>
  <si>
    <t xml:space="preserve">Note: The contract trough ROE is unverified. There has been no downturn since HBM became material in 2024, so there are zero observations.</t>
  </si>
  <si>
    <t xml:space="preserve">Note: Resolution point is disclosure of LTA terms around year-end. If a floor price exists, row 22 should sit at 15% or above; if not, 5% or below is the consistent setting.</t>
  </si>
  <si>
    <t xml:space="preserve">Sources: Historical ROE from the HistoricalCycle tab (FY2021-25 actuals). FY2023 revenue -49.5%, gross margin -9.1%.</t>
  </si>
  <si>
    <t xml:space="preserve">(18) P/B Bridge — Why the Market Assigns This Multiple</t>
  </si>
  <si>
    <t xml:space="preserve">P/B is an output of the RIM, not an input. Rather than adding adjustment factors, the multiple is split into three pieces to show where it comes from.</t>
  </si>
  <si>
    <t xml:space="preserve">1. RIM Inputs (Section 11 Adopted Structure)</t>
  </si>
  <si>
    <t xml:space="preserve">Confirmed actual</t>
  </si>
  <si>
    <t xml:space="preserve">Explicit forecast window</t>
  </si>
  <si>
    <t xml:space="preserve">12 estimates</t>
  </si>
  <si>
    <t xml:space="preserve">Discount factor to FY2028</t>
  </si>
  <si>
    <t xml:space="preserve">Terminal ROE (derived on TerminalROE)</t>
  </si>
  <si>
    <t xml:space="preserve">Manual entry retired</t>
  </si>
  <si>
    <t xml:space="preserve">[*] The last battleground</t>
  </si>
  <si>
    <t xml:space="preserve">Terminal growth rate g</t>
  </si>
  <si>
    <t xml:space="preserve">Stage 1 discount rate</t>
  </si>
  <si>
    <t xml:space="preserve">2. Multiple Bridge — Today’s Value Expressed Against FY2028 Book</t>
  </si>
  <si>
    <t xml:space="preserve">PV of terminal value</t>
  </si>
  <si>
    <t xml:space="preserve">V0 compounded to FY2028</t>
  </si>
  <si>
    <t xml:space="preserve">P/B bridge (forward multiple on FY2028 BPS)</t>
  </si>
  <si>
    <t xml:space="preserve">  (a) Book value component (B0)</t>
  </si>
  <si>
    <t xml:space="preserve">Equity already booked</t>
  </si>
  <si>
    <t xml:space="preserve">  (b) Explicit residual income</t>
  </si>
  <si>
    <t xml:space="preserve">Excess earnings, FY2026-28</t>
  </si>
  <si>
    <t xml:space="preserve">  (c) Terminal contribution</t>
  </si>
  <si>
    <t xml:space="preserve">Everything from FY2029 onward</t>
  </si>
  <si>
    <t xml:space="preserve">  Derived forward P/B</t>
  </si>
  <si>
    <t xml:space="preserve">Terminal share of the multiple</t>
  </si>
  <si>
    <t xml:space="preserve">A high value means the conclusion is dominated by terminal assumptions</t>
  </si>
  <si>
    <t xml:space="preserve">3. Comparison With the Market Multiple</t>
  </si>
  <si>
    <t xml:space="preserve">Market forward P/B (FY2028)</t>
  </si>
  <si>
    <t xml:space="preserve">Current price / FY2028 BPS</t>
  </si>
  <si>
    <t xml:space="preserve">Derived forward P/B</t>
  </si>
  <si>
    <t xml:space="preserve">Sum of (a), (b) and (c) above</t>
  </si>
  <si>
    <t xml:space="preserve">Positive means the market values the shares above the model</t>
  </si>
  <si>
    <t xml:space="preserve">Gap (%)</t>
  </si>
  <si>
    <t xml:space="preserve">4. Reference — Historical Multiple Band</t>
  </si>
  <si>
    <t xml:space="preserve">  Five-year P/B band, low</t>
  </si>
  <si>
    <t xml:space="preserve">  Five-year P/B average</t>
  </si>
  <si>
    <t xml:space="preserve">FY2021~25</t>
  </si>
  <si>
    <t xml:space="preserve">  Five-year P/B band, high</t>
  </si>
  <si>
    <t xml:space="preserve">  BofA two-year-forward historical median</t>
  </si>
  <si>
    <t xml:space="preserve">BofA report, 2026-05-29</t>
  </si>
  <si>
    <t xml:space="preserve">Note: The band above reflects realized multiples on then-current book value. Mind the timing difference when comparing directly with a forward P/B.</t>
  </si>
  <si>
    <t xml:space="preserve">5. P/B Sensitivity (rows: terminal ROE / columns: terminal discount rate) — forward P/B on FY2028 BPS</t>
  </si>
  <si>
    <t xml:space="preserve">Current combination</t>
  </si>
  <si>
    <t xml:space="preserve">Market forward P/B</t>
  </si>
  <si>
    <t xml:space="preserve">Note: The cell matching the market multiple in B51 is the terminal ROE and discount rate combination the market implies.</t>
  </si>
  <si>
    <t xml:space="preserve">Note: Cells above the historical band high of 2.53x sit in territory that has never been realized.</t>
  </si>
  <si>
    <t xml:space="preserve">6. [*] News Routing — Why No Adjustment Factor Is Applied to P/B</t>
  </si>
  <si>
    <t xml:space="preserve">Every news item routes through the table below into an existing input cell. Adjusting P/B directly would put the target multiple and the achievement rate on the optimistic side at the same time, violating update rule 5 in section 7 of the handoff note.</t>
  </si>
  <si>
    <t xml:space="preserve">News / Event</t>
  </si>
  <si>
    <t xml:space="preserve">Transmission path</t>
  </si>
  <si>
    <t xml:space="preserve">Cell to adjust</t>
  </si>
  <si>
    <t xml:space="preserve">P/B direction</t>
  </si>
  <si>
    <t xml:space="preserve">Resolution point</t>
  </si>
  <si>
    <t xml:space="preserve">HBM4 contract price rises (Goldman +44-50%)</t>
  </si>
  <si>
    <t xml:space="preserve">HBM ASP up, HBM OPM up, ROE up</t>
  </si>
  <si>
    <t xml:space="preserve">SegmentMargin B41:E41</t>
  </si>
  <si>
    <t xml:space="preserve">Expands</t>
  </si>
  <si>
    <t xml:space="preserve">2026-11~12</t>
  </si>
  <si>
    <t xml:space="preserve">HBM4 contract price undershoots consensus (+34%)</t>
  </si>
  <si>
    <t xml:space="preserve">HBM ASP down, HBM OPM down</t>
  </si>
  <si>
    <t xml:space="preserve">Contracts</t>
  </si>
  <si>
    <t xml:space="preserve">Commodity DRAM spot price collapses</t>
  </si>
  <si>
    <t xml:space="preserve">Commodity ASP down, commodity OPM down, ROE down</t>
  </si>
  <si>
    <t xml:space="preserve">SegmentMargin B40:E40</t>
  </si>
  <si>
    <t xml:space="preserve">Memory oversupply (CXMT and top-3 expansion)</t>
  </si>
  <si>
    <t xml:space="preserve">Commodity ASP down</t>
  </si>
  <si>
    <t xml:space="preserve">2027~28</t>
  </si>
  <si>
    <t xml:space="preserve">Hyperscaler AI capex slows</t>
  </si>
  <si>
    <t xml:space="preserve">HBM wafer share down and commodity ASP down</t>
  </si>
  <si>
    <t xml:space="preserve">MixPath B6:E6 and SegmentMargin row 40</t>
  </si>
  <si>
    <t xml:space="preserve">Large buyback announced on Dec 9</t>
  </si>
  <si>
    <t xml:space="preserve">Equity down, turnover up, ROE up</t>
  </si>
  <si>
    <t xml:space="preserve">ROE_Build B33:E33</t>
  </si>
  <si>
    <t xml:space="preserve">2026-12-09</t>
  </si>
  <si>
    <t xml:space="preserve">LTA floor price confirmed</t>
  </si>
  <si>
    <t xml:space="preserve">Contract trough ROE up, terminal ROE up</t>
  </si>
  <si>
    <t xml:space="preserve">TerminalROE B22</t>
  </si>
  <si>
    <t xml:space="preserve">Rates fall, liquidity improves</t>
  </si>
  <si>
    <t xml:space="preserve">Cost of equity down, terminal discount rate down</t>
  </si>
  <si>
    <t xml:space="preserve">RIM_3Stage B9</t>
  </si>
  <si>
    <t xml:space="preserve">Re-rating out of the cyclical bucket (beta down)</t>
  </si>
  <si>
    <t xml:space="preserve">Cost of equity down</t>
  </si>
  <si>
    <t xml:space="preserve">RIM_3Stage B9 and Assumptions B14</t>
  </si>
  <si>
    <t xml:space="preserve">After LTA terms are disclosed</t>
  </si>
  <si>
    <t xml:space="preserve">CXMT accelerates into HBM</t>
  </si>
  <si>
    <t xml:space="preserve">Terminal ROE down, discount rate up</t>
  </si>
  <si>
    <t xml:space="preserve">TerminalROE B22 and RIM_3Stage B9</t>
  </si>
  <si>
    <t xml:space="preserve">HBM3E in 2027</t>
  </si>
  <si>
    <t xml:space="preserve">Micron misses consensus</t>
  </si>
  <si>
    <t xml:space="preserve">Consensus EPS and BPS down, all tabs recalculate</t>
  </si>
  <si>
    <t xml:space="preserve">Consensus tab</t>
  </si>
  <si>
    <t xml:space="preserve">Late Sep to early Oct</t>
  </si>
  <si>
    <t xml:space="preserve">Apple adopts CXMT (Aug 21 Senate reply)</t>
  </si>
  <si>
    <t xml:space="preserve">Political shield disappears, discount rate up</t>
  </si>
  <si>
    <t xml:space="preserve">Note: There is deliberately no P/B premium factor cell here. With one, any conclusion could be manufactured.</t>
  </si>
  <si>
    <t xml:space="preserve">Note: The four factors raised in review (ROE premium, AI slowdown, oversupply, liquidity) map to rows 1, 5, 4 and 8 of the table above.</t>
  </si>
  <si>
    <t xml:space="preserve">Sources: Historical multiples from the HistoricalCycle tab. Resolution points are synchronized with the Tracker tab. Not investment advice.</t>
  </si>
  <si>
    <t xml:space="preserve">(19) Discount Rate Build-up — Rf + Beta x ERP, With Beta Derived From Mix</t>
  </si>
  <si>
    <t xml:space="preserve">Converts the three-stage RIM discount rates from manual entry to a CAPM build-up. Beta is derived from the contract-fixed revenue share.</t>
  </si>
  <si>
    <t xml:space="preserve">1. CAPM Components</t>
  </si>
  <si>
    <t xml:space="preserve">[*] Risk-free rate, US 10-year</t>
  </si>
  <si>
    <t xml:space="preserve">Linked to Assumptions B13. Verify and update directly.</t>
  </si>
  <si>
    <t xml:space="preserve">[*] Equity risk premium (ERP)</t>
  </si>
  <si>
    <t xml:space="preserve">Linked to Assumptions B15. Typically 4.5-5.5%.</t>
  </si>
  <si>
    <t xml:space="preserve">Observed beta (5Y)</t>
  </si>
  <si>
    <t xml:space="preserve">CAPM base cost of equity</t>
  </si>
  <si>
    <t xml:space="preserve">Rf + beta x ERP, at the current mix</t>
  </si>
  <si>
    <t xml:space="preserve">2. [*] Beta Decomposition — Does the Contract Structure Lower Beta?</t>
  </si>
  <si>
    <t xml:space="preserve">The observed beta of 2.14 already embeds a 23% HBM share. This splits it into spot and contract components.</t>
  </si>
  <si>
    <t xml:space="preserve">FY2026 HBM revenue share</t>
  </si>
  <si>
    <t xml:space="preserve">MixPath reproduces the actual 23.0%</t>
  </si>
  <si>
    <t xml:space="preserve">[*] Contract-portion beta</t>
  </si>
  <si>
    <t xml:space="preserve">[*] Systematic risk of the five-year volume contracts and customer-qualified business. No observations exist [ESTIMATE]</t>
  </si>
  <si>
    <t xml:space="preserve">Implied spot-portion beta (back-solved)</t>
  </si>
  <si>
    <t xml:space="preserve">(observed beta - HBM share x contract beta) / spot share</t>
  </si>
  <si>
    <t xml:space="preserve">3. Derived Beta and Cost of Equity by Year</t>
  </si>
  <si>
    <t xml:space="preserve">HBM revenue share (from MixPath)</t>
  </si>
  <si>
    <t xml:space="preserve">Derived beta</t>
  </si>
  <si>
    <t xml:space="preserve">Derived cost of equity</t>
  </si>
  <si>
    <t xml:space="preserve">A larger contract share pulls beta and cost of equity down</t>
  </si>
  <si>
    <t xml:space="preserve">4. Mapping to the Three Stages — Read by RIM_3Stage B7/B8/B9</t>
  </si>
  <si>
    <t xml:space="preserve">Each stage carries an explicit [*] adjustment. The adjustment is judgment, and it is shown in a cell rather than hidden.</t>
  </si>
  <si>
    <t xml:space="preserve">Stage</t>
  </si>
  <si>
    <t xml:space="preserve">Base cost of equity</t>
  </si>
  <si>
    <t xml:space="preserve">[*] Adjustment (pp)</t>
  </si>
  <si>
    <t xml:space="preserve">Applied discount rate</t>
  </si>
  <si>
    <t xml:space="preserve">Stage 1 (FY2026-28)</t>
  </si>
  <si>
    <t xml:space="preserve">Near-term visibility is high given five-year HBM volume contracts and fab lead times. Based on the FY2027 cost of equity.</t>
  </si>
  <si>
    <t xml:space="preserve">Stage 2 (FY2029)</t>
  </si>
  <si>
    <t xml:space="preserve">Period of CXMT reaching 600k wpm and domestic Chinese DUV spreading. New capacity landing raises uncertainty.</t>
  </si>
  <si>
    <t xml:space="preserve">Terminal</t>
  </si>
  <si>
    <t xml:space="preserve">Perpetuity. Between 12-14% if the four-supplier oligopoly holds and 18-20% under commoditization.</t>
  </si>
  <si>
    <t xml:space="preserve">Note: The default adjustments are back-solved to reproduce the prior manual inputs of 12% / 17% / 16% exactly. Only the structure changed; the numbers did not.</t>
  </si>
  <si>
    <t xml:space="preserve">Note: Setting the adjustments to zero yields the pure CAPM values. Stage 1 rises to 15.4% and intrinsic value falls sharply.</t>
  </si>
  <si>
    <t xml:space="preserve">5. Sensitivity — Terminal Discount Rate (rows: contract beta / columns: risk-free rate)</t>
  </si>
  <si>
    <t xml:space="preserve">Contract beta \ Rf</t>
  </si>
  <si>
    <t xml:space="preserve">Note: Even with contract beta at 0.4 and the risk-free rate at 3.0%, the terminal discount rate stays in the low 12% range.</t>
  </si>
  <si>
    <t xml:space="preserve">Note: Contract structure plus falling rates alone will not reach the 10% Nomura argues for. The spot-portion beta itself would have to fall.</t>
  </si>
  <si>
    <t xml:space="preserve">Note: Resolution point is disclosure of LTA terms around year-end. A floor price would justify lowering row 13, the contract beta.</t>
  </si>
  <si>
    <t xml:space="preserve">(20) One-Way Sensitivity (Tornado) — Which Assumption Dominates</t>
  </si>
  <si>
    <t xml:space="preserve">Each parameter is moved on its own to show the swing in intrinsic value V0. The ranking by swing is the update priority order.</t>
  </si>
  <si>
    <t xml:space="preserve">1. Base Parameters (linked from other tabs — do not edit here)</t>
  </si>
  <si>
    <t xml:space="preserve">  HBM wafer share (FY2029)</t>
  </si>
  <si>
    <t xml:space="preserve">  Trade ratio (FY2029)</t>
  </si>
  <si>
    <t xml:space="preserve">  ASP premium (FY2029)</t>
  </si>
  <si>
    <t xml:space="preserve">  DRAM revenue share (FY2029)</t>
  </si>
  <si>
    <t xml:space="preserve">  Commodity base OPM</t>
  </si>
  <si>
    <t xml:space="preserve">  Commodity ASP index (FY2029)</t>
  </si>
  <si>
    <t xml:space="preserve">  HBM base OPM</t>
  </si>
  <si>
    <t xml:space="preserve">  HBM ASP index (FY2029)</t>
  </si>
  <si>
    <t xml:space="preserve">  NAND base OPM</t>
  </si>
  <si>
    <t xml:space="preserve">  NAND ASP index (FY2029)</t>
  </si>
  <si>
    <t xml:space="preserve">  FY2029 revenue ($m)</t>
  </si>
  <si>
    <t xml:space="preserve">  FY2029 average equity ($m)</t>
  </si>
  <si>
    <t xml:space="preserve">  Average buyback deduction ($m)</t>
  </si>
  <si>
    <t xml:space="preserve">  Spot trough ROE</t>
  </si>
  <si>
    <t xml:space="preserve">  Contract trough ROE</t>
  </si>
  <si>
    <t xml:space="preserve">  Peak multiple</t>
  </si>
  <si>
    <t xml:space="preserve">  Weight on peak years</t>
  </si>
  <si>
    <t xml:space="preserve">  Weight on mid years</t>
  </si>
  <si>
    <t xml:space="preserve">  Weight on trough years</t>
  </si>
  <si>
    <t xml:space="preserve">  Fixed component B0 + RI (RIM)</t>
  </si>
  <si>
    <t xml:space="preserve">  FY2028 BPS (terminal equity)</t>
  </si>
  <si>
    <t xml:space="preserve">  FY2028 discount factor</t>
  </si>
  <si>
    <t xml:space="preserve">  Terminal discount rate</t>
  </si>
  <si>
    <t xml:space="preserve">  Terminal growth rate g</t>
  </si>
  <si>
    <t xml:space="preserve">2. Check — Does the Chain Reproduce the RIM Result?</t>
  </si>
  <si>
    <t xml:space="preserve">  V0 reproduced by the chain</t>
  </si>
  <si>
    <t xml:space="preserve">  RIM section 11 computed directly</t>
  </si>
  <si>
    <t xml:space="preserve">  Difference</t>
  </si>
  <si>
    <t xml:space="preserve">Zero confirms the chain reproduces the RIM exactly</t>
  </si>
  <si>
    <t xml:space="preserve">3. Tornado — V0 Swing by Parameter</t>
  </si>
  <si>
    <t xml:space="preserve">Parameter</t>
  </si>
  <si>
    <t xml:space="preserve">Down</t>
  </si>
  <si>
    <t xml:space="preserve">Up</t>
  </si>
  <si>
    <t xml:space="preserve">V0 (down)</t>
  </si>
  <si>
    <t xml:space="preserve">V0 (up)</t>
  </si>
  <si>
    <t xml:space="preserve">Swing ($)</t>
  </si>
  <si>
    <t xml:space="preserve">Swing (%)</t>
  </si>
  <si>
    <t xml:space="preserve">Basis for the range</t>
  </si>
  <si>
    <t xml:space="preserve">HBM wafer share (FY2029)</t>
  </si>
  <si>
    <t xml:space="preserve">+/-5pp — as suggested in review</t>
  </si>
  <si>
    <t xml:space="preserve">Trade ratio (FY2029)</t>
  </si>
  <si>
    <t xml:space="preserve">+/-0.30x — the HBM4 to HBM4E step</t>
  </si>
  <si>
    <t xml:space="preserve">ASP premium (FY2029)</t>
  </si>
  <si>
    <t xml:space="preserve">+/-1.00x — half the gap between cases 2 and 3</t>
  </si>
  <si>
    <t xml:space="preserve">Commodity base OPM</t>
  </si>
  <si>
    <t xml:space="preserve">Commodity ASP index (FY2029)</t>
  </si>
  <si>
    <t xml:space="preserve">+/-10% — spot price movement</t>
  </si>
  <si>
    <t xml:space="preserve">HBM base OPM</t>
  </si>
  <si>
    <t xml:space="preserve">HBM ASP index (FY2029)</t>
  </si>
  <si>
    <t xml:space="preserve">+/-20% — contract negotiation range</t>
  </si>
  <si>
    <t xml:space="preserve">Average buyback deduction ($m)</t>
  </si>
  <si>
    <t xml:space="preserve">+/-$50B — within the BofA to UBS range</t>
  </si>
  <si>
    <t xml:space="preserve">Contract trough ROE</t>
  </si>
  <si>
    <t xml:space="preserve">+/-10pp — zero observations, so a wide range</t>
  </si>
  <si>
    <t xml:space="preserve">Peak multiple</t>
  </si>
  <si>
    <t xml:space="preserve">+/-0.25x</t>
  </si>
  <si>
    <t xml:space="preserve">FY2028 BPS (terminal equity)</t>
  </si>
  <si>
    <t xml:space="preserve">+/-$24.27 — the consensus median versus mean gap</t>
  </si>
  <si>
    <t xml:space="preserve">+/-1pp — as suggested in review</t>
  </si>
  <si>
    <t xml:space="preserve">+/-0.5pp — as suggested in review</t>
  </si>
  <si>
    <t xml:space="preserve">Base V0</t>
  </si>
  <si>
    <t xml:space="preserve">Note: The swing ranking is the update priority. Managing only the top three or four accurately determines most of the model quality.</t>
  </si>
  <si>
    <t xml:space="preserve">Note: The ranges are not arbitrary. They come from observable spreads - contract negotiation ranges, the consensus distribution, and the BofA to UBS buyback range.</t>
  </si>
  <si>
    <t xml:space="preserve">Note: One-way sensitivity hides interactions. For two variables moving together, see the grids on RIM_3Stage row 131, TerminalROE row 43 and PB_Bridge row 42.</t>
  </si>
  <si>
    <t xml:space="preserve">(21) Assumption Grade Management — What to Fix First</t>
  </si>
  <si>
    <t xml:space="preserve">Confidence grade crossed with sensitivity rank. Low-grade, high-sensitivity items are the top update priority.</t>
  </si>
  <si>
    <t xml:space="preserve">1. Grade Definitions</t>
  </si>
  <si>
    <t xml:space="preserve">A</t>
  </si>
  <si>
    <t xml:space="preserve">Confirmed actual — SEC filings, company disclosure, direct retrieval. If it changes, a fact has changed.</t>
  </si>
  <si>
    <t xml:space="preserve">B</t>
  </si>
  <si>
    <t xml:space="preserve">Published estimate — consensus, TrendForce and other specialist publications. Updated on a regular cycle.</t>
  </si>
  <si>
    <t xml:space="preserve">C</t>
  </si>
  <si>
    <t xml:space="preserve">User estimate — unverified judgment. This is the bottleneck on model quality.</t>
  </si>
  <si>
    <t xml:space="preserve">2. [*] Full Input Inventory — Ordered by Sensitivity Rank</t>
  </si>
  <si>
    <t xml:space="preserve">Tab</t>
  </si>
  <si>
    <t xml:space="preserve">Cell</t>
  </si>
  <si>
    <t xml:space="preserve">Grade</t>
  </si>
  <si>
    <t xml:space="preserve">Source / Basis</t>
  </si>
  <si>
    <t xml:space="preserve">Next update</t>
  </si>
  <si>
    <t xml:space="preserve">V0 swing</t>
  </si>
  <si>
    <t xml:space="preserve">Rank</t>
  </si>
  <si>
    <t xml:space="preserve">Cumulative buyback spend</t>
  </si>
  <si>
    <t xml:space="preserve">B33:E33</t>
  </si>
  <si>
    <t xml:space="preserve">BofA $31.7B versus UBS $380B; midpoint set arbitrarily</t>
  </si>
  <si>
    <t xml:space="preserve">2026-12-09 CHIPS restriction lifts</t>
  </si>
  <si>
    <t xml:space="preserve">Commodity DRAM base OPM</t>
  </si>
  <si>
    <t xml:space="preserve">B45</t>
  </si>
  <si>
    <t xml:space="preserve">Stated in handoff note section 4.4; primary source unconfirmed</t>
  </si>
  <si>
    <t xml:space="preserve">Quarterly segment margins</t>
  </si>
  <si>
    <t xml:space="preserve">B15</t>
  </si>
  <si>
    <t xml:space="preserve">History gives 1.18x (peak / mid-year); set conservatively at 1.5</t>
  </si>
  <si>
    <t xml:space="preserve">On the next cycle observation</t>
  </si>
  <si>
    <t xml:space="preserve">DiscountRate</t>
  </si>
  <si>
    <t xml:space="preserve">Stage adjustments</t>
  </si>
  <si>
    <t xml:space="preserve">C26:C28</t>
  </si>
  <si>
    <t xml:space="preserve">Back-solved to reproduce the prior manual 12/17/16</t>
  </si>
  <si>
    <t xml:space="preserve">Commodity ASP index</t>
  </si>
  <si>
    <t xml:space="preserve">B40:E40</t>
  </si>
  <si>
    <t xml:space="preserve">FY29 fitted to the consensus gross margin decline</t>
  </si>
  <si>
    <t xml:space="preserve">Spot prices, ongoing</t>
  </si>
  <si>
    <t xml:space="preserve">ASP premium case</t>
  </si>
  <si>
    <t xml:space="preserve">B11:B14</t>
  </si>
  <si>
    <t xml:space="preserve">FY2026 is actual (grade A); FY2027 onward is estimated</t>
  </si>
  <si>
    <t xml:space="preserve">HBM4 contract price, Nov-Dec 2026</t>
  </si>
  <si>
    <t xml:space="preserve">B22</t>
  </si>
  <si>
    <t xml:space="preserve">[*] Zero observations. No downturn since HBM became material.</t>
  </si>
  <si>
    <t xml:space="preserve">LTA floor price, year-end to early next year</t>
  </si>
  <si>
    <t xml:space="preserve">FY2028 BPS</t>
  </si>
  <si>
    <t xml:space="preserve">F24</t>
  </si>
  <si>
    <t xml:space="preserve">12 estimates. Median 437.94 versus mean 413.67.</t>
  </si>
  <si>
    <t xml:space="preserve">Quarterly consensus refresh</t>
  </si>
  <si>
    <t xml:space="preserve">RIM_3Stage</t>
  </si>
  <si>
    <t xml:space="preserve">B11</t>
  </si>
  <si>
    <t xml:space="preserve">Fixed at 4%, approximating nominal GDP</t>
  </si>
  <si>
    <t xml:space="preserve">No review needed</t>
  </si>
  <si>
    <t xml:space="preserve">HBM wafer share, FY28-29</t>
  </si>
  <si>
    <t xml:space="preserve">D6:E6</t>
  </si>
  <si>
    <t xml:space="preserve">TrendForce publishes only through 2027; later years extrapolated</t>
  </si>
  <si>
    <t xml:space="preserve">Next TrendForce publication</t>
  </si>
  <si>
    <t xml:space="preserve">HBM contract ASP index</t>
  </si>
  <si>
    <t xml:space="preserve">B41:E41</t>
  </si>
  <si>
    <t xml:space="preserve">Quantifies the TrendForce call for a multi-fold rise in 2027</t>
  </si>
  <si>
    <t xml:space="preserve">B46</t>
  </si>
  <si>
    <t xml:space="preserve">Reflects the 2026 contract-lag state, consistent with Micron CEO remarks</t>
  </si>
  <si>
    <t xml:space="preserve">Quarterly results</t>
  </si>
  <si>
    <t xml:space="preserve">Trade ratio</t>
  </si>
  <si>
    <t xml:space="preserve">B7:E7</t>
  </si>
  <si>
    <t xml:space="preserve">FY26-27 back-solved from TrendForce wafer and bit shares</t>
  </si>
  <si>
    <t xml:space="preserve">3. Grade A — Confirmed Actuals (a change here means a fact changed)</t>
  </si>
  <si>
    <t xml:space="preserve">B5</t>
  </si>
  <si>
    <t xml:space="preserve">User-specified, 2026-07-31</t>
  </si>
  <si>
    <t xml:space="preserve">B6</t>
  </si>
  <si>
    <t xml:space="preserve">stockanalysis.com 2026-07-28</t>
  </si>
  <si>
    <t xml:space="preserve">FY2026 ASP premium of 4.39x</t>
  </si>
  <si>
    <t xml:space="preserve">Back-solved from the actual Micron mix (HBM 23% of revenue, 9% of bits)</t>
  </si>
  <si>
    <t xml:space="preserve">FY2026 revenue mix 53/23/24</t>
  </si>
  <si>
    <t xml:space="preserve">B26:B28</t>
  </si>
  <si>
    <t xml:space="preserve">Handoff note, section 3.5</t>
  </si>
  <si>
    <t xml:space="preserve">Spot trough ROE of -12.4%</t>
  </si>
  <si>
    <t xml:space="preserve">B21</t>
  </si>
  <si>
    <t xml:space="preserve">Micron FY2023 actual. Revenue -49.5%, gross margin -9.1%.</t>
  </si>
  <si>
    <t xml:space="preserve">FY2021~25 ROE·P/B</t>
  </si>
  <si>
    <t xml:space="preserve">Entire tab</t>
  </si>
  <si>
    <t xml:space="preserve">Micron confirmed actuals</t>
  </si>
  <si>
    <t xml:space="preserve">FY2025 actuals column</t>
  </si>
  <si>
    <t xml:space="preserve">Column C</t>
  </si>
  <si>
    <t xml:space="preserve">4. Grade B — Published Estimates (on a regular update cycle)</t>
  </si>
  <si>
    <t xml:space="preserve">All line items (revenue, EPS, BPS, ROE and others)</t>
  </si>
  <si>
    <t xml:space="preserve">Always check the estimate count - FY2028 BPS has 12, ROE has 16</t>
  </si>
  <si>
    <t xml:space="preserve">After each quarterly report</t>
  </si>
  <si>
    <t xml:space="preserve">HBM wafer and bit share, FY26-27</t>
  </si>
  <si>
    <t xml:space="preserve">18/22/30% and 8/9/13%</t>
  </si>
  <si>
    <t xml:space="preserve">Next TrendForce press release</t>
  </si>
  <si>
    <t xml:space="preserve">Risk-free rate</t>
  </si>
  <si>
    <t xml:space="preserve">US 10-year Treasury</t>
  </si>
  <si>
    <t xml:space="preserve">2.14 per Finviz, 2026-07-28</t>
  </si>
  <si>
    <t xml:space="preserve">Monthly</t>
  </si>
  <si>
    <t xml:space="preserve">Effective tax rate</t>
  </si>
  <si>
    <t xml:space="preserve">14.5%, back-solved from consensus pretax versus net income</t>
  </si>
  <si>
    <t xml:space="preserve">5. Update Calendar — What Gets Revised and When</t>
  </si>
  <si>
    <t xml:space="preserve">Cells to update</t>
  </si>
  <si>
    <t xml:space="preserve">Grade change</t>
  </si>
  <si>
    <t xml:space="preserve">Apple replies to the Senate letter</t>
  </si>
  <si>
    <t xml:space="preserve">DiscountRate C28 (terminal adjustment)</t>
  </si>
  <si>
    <t xml:space="preserve">Stays C</t>
  </si>
  <si>
    <t xml:space="preserve">2026-09~10</t>
  </si>
  <si>
    <t xml:space="preserve">All Consensus items plus SegmentMargin B45/B46 (actual margins)</t>
  </si>
  <si>
    <t xml:space="preserve">B45 and B46: C to A</t>
  </si>
  <si>
    <t xml:space="preserve">2026-10</t>
  </si>
  <si>
    <t xml:space="preserve">SK hynix Q3</t>
  </si>
  <si>
    <t xml:space="preserve">SegmentMargin B40 (commodity ASP)</t>
  </si>
  <si>
    <t xml:space="preserve">SegmentMargin B41:E41 (HBM ASP index)</t>
  </si>
  <si>
    <t xml:space="preserve">B41: C to A</t>
  </si>
  <si>
    <t xml:space="preserve">ROE_Build B33:E33 (cumulative buybacks)</t>
  </si>
  <si>
    <t xml:space="preserve">B33: C to A  [*] highest sensitivity</t>
  </si>
  <si>
    <t xml:space="preserve">TerminalROE B22 and DiscountRate B13 (contract beta)</t>
  </si>
  <si>
    <t xml:space="preserve">B22: C to B</t>
  </si>
  <si>
    <t xml:space="preserve">Next TrendForce release</t>
  </si>
  <si>
    <t xml:space="preserve">2028 wafer and bit share forecast</t>
  </si>
  <si>
    <t xml:space="preserve">MixPath D6:E6 and D7:E7</t>
  </si>
  <si>
    <t xml:space="preserve">C to B</t>
  </si>
  <si>
    <t xml:space="preserve">Note: Top priority is grade C combined with high sensitivity. Currently that is (1) cumulative buybacks (Dec 9), (2) commodity base OPM (late-Sep results), (3) peak multiple, (4) stage adjustments.</t>
  </si>
  <si>
    <t xml:space="preserve">Note: Every HBM-related parameter ranks in the bottom tier (10th to 13th). Analytical effort and impact on the result are misaligned, so reconsider where time goes.</t>
  </si>
  <si>
    <t xml:space="preserve">Note: 11 of 13 inputs are grade C. The calculation structure is complete, but input confidence remains low - exactly the point raised in review.</t>
  </si>
  <si>
    <t xml:space="preserve">Note: This file is not investment advice. Every grade C value must be independently verified by the user.</t>
  </si>
</sst>
</file>

<file path=xl/styles.xml><?xml version="1.0" encoding="utf-8"?>
<styleSheet xmlns="http://schemas.openxmlformats.org/spreadsheetml/2006/main">
  <numFmts count="19">
    <numFmt numFmtId="164" formatCode="General"/>
    <numFmt numFmtId="165" formatCode="\$#,##0.00;&quot;($&quot;#,##0.00\);\-"/>
    <numFmt numFmtId="166" formatCode="#,##0;\(#,##0\);\-"/>
    <numFmt numFmtId="167" formatCode="0.00\x"/>
    <numFmt numFmtId="168" formatCode="0.0%;\(0.0%\);\-"/>
    <numFmt numFmtId="169" formatCode="0.00"/>
    <numFmt numFmtId="170" formatCode="0"/>
    <numFmt numFmtId="171" formatCode="@"/>
    <numFmt numFmtId="172" formatCode="\$#,##0;&quot;($&quot;#,##0\);\-"/>
    <numFmt numFmtId="173" formatCode="#,##0"/>
    <numFmt numFmtId="174" formatCode="#,##0.0"/>
    <numFmt numFmtId="175" formatCode="#,##0.0;\(#,##0.0\);\-"/>
    <numFmt numFmtId="176" formatCode="0.0000"/>
    <numFmt numFmtId="177" formatCode="0.0\x"/>
    <numFmt numFmtId="178" formatCode="0.00%;\(0.00%\);\-"/>
    <numFmt numFmtId="179" formatCode="#,##0.00"/>
    <numFmt numFmtId="180" formatCode="\$#,##0"/>
    <numFmt numFmtId="181" formatCode="0.000"/>
    <numFmt numFmtId="182" formatCode="0.0%"/>
  </numFmts>
  <fonts count="26">
    <font>
      <sz val="11"/>
      <color theme="1"/>
      <name val="Malgun Gothic"/>
      <family val="0"/>
      <charset val="1"/>
    </font>
    <font>
      <sz val="10"/>
      <name val="Arial"/>
      <family val="0"/>
    </font>
    <font>
      <sz val="10"/>
      <name val="Arial"/>
      <family val="0"/>
    </font>
    <font>
      <sz val="10"/>
      <name val="Arial"/>
      <family val="0"/>
    </font>
    <font>
      <b val="true"/>
      <sz val="14"/>
      <color rgb="FFFFFFFF"/>
      <name val="Malgun Gothic"/>
      <family val="0"/>
      <charset val="1"/>
    </font>
    <font>
      <b val="true"/>
      <sz val="10"/>
      <color theme="1"/>
      <name val="Noto Sans CJK SC"/>
      <family val="2"/>
      <charset val="1"/>
    </font>
    <font>
      <sz val="10"/>
      <color theme="1"/>
      <name val="Noto Sans CJK SC"/>
      <family val="2"/>
      <charset val="1"/>
    </font>
    <font>
      <b val="true"/>
      <sz val="10"/>
      <color theme="1"/>
      <name val="Malgun Gothic"/>
      <family val="0"/>
      <charset val="1"/>
    </font>
    <font>
      <sz val="10"/>
      <color theme="1"/>
      <name val="Malgun Gothic"/>
      <family val="0"/>
      <charset val="1"/>
    </font>
    <font>
      <b val="true"/>
      <sz val="11"/>
      <color rgb="FFFFFFFF"/>
      <name val="Noto Sans CJK SC"/>
      <family val="2"/>
      <charset val="1"/>
    </font>
    <font>
      <sz val="10"/>
      <color rgb="FF0000FF"/>
      <name val="Noto Sans CJK SC"/>
      <family val="2"/>
      <charset val="1"/>
    </font>
    <font>
      <sz val="10"/>
      <color rgb="FF008000"/>
      <name val="Noto Sans CJK SC"/>
      <family val="2"/>
      <charset val="1"/>
    </font>
    <font>
      <i val="true"/>
      <sz val="9"/>
      <color rgb="FF666666"/>
      <name val="Noto Sans CJK SC"/>
      <family val="2"/>
      <charset val="1"/>
    </font>
    <font>
      <b val="true"/>
      <sz val="11"/>
      <color rgb="FFC00000"/>
      <name val="Noto Sans CJK SC"/>
      <family val="2"/>
      <charset val="1"/>
    </font>
    <font>
      <b val="true"/>
      <sz val="11"/>
      <color rgb="FFFFFFFF"/>
      <name val="Malgun Gothic"/>
      <family val="0"/>
      <charset val="1"/>
    </font>
    <font>
      <b val="true"/>
      <sz val="10"/>
      <name val="Noto Sans CJK SC"/>
      <family val="2"/>
      <charset val="1"/>
    </font>
    <font>
      <sz val="10"/>
      <name val="Noto Sans CJK SC"/>
      <family val="2"/>
      <charset val="1"/>
    </font>
    <font>
      <b val="true"/>
      <sz val="10"/>
      <name val="Malgun Gothic"/>
      <family val="0"/>
      <charset val="1"/>
    </font>
    <font>
      <sz val="9"/>
      <color rgb="FF595959"/>
      <name val="Noto Sans CJK SC"/>
      <family val="2"/>
      <charset val="1"/>
    </font>
    <font>
      <sz val="10"/>
      <name val="Malgun Gothic"/>
      <family val="0"/>
      <charset val="1"/>
    </font>
    <font>
      <sz val="9"/>
      <color rgb="FF595959"/>
      <name val="Malgun Gothic"/>
      <family val="0"/>
      <charset val="1"/>
    </font>
    <font>
      <b val="true"/>
      <sz val="14"/>
      <color rgb="FFFFFFFF"/>
      <name val="Noto Sans CJK SC"/>
      <family val="2"/>
      <charset val="1"/>
    </font>
    <font>
      <sz val="10"/>
      <color rgb="FF0000FF"/>
      <name val="Malgun Gothic"/>
      <family val="0"/>
      <charset val="1"/>
    </font>
    <font>
      <i val="true"/>
      <sz val="9"/>
      <color rgb="FF666666"/>
      <name val="Malgun Gothic"/>
      <family val="0"/>
      <charset val="1"/>
    </font>
    <font>
      <sz val="10"/>
      <color rgb="FF008000"/>
      <name val="Malgun Gothic"/>
      <family val="0"/>
      <charset val="1"/>
    </font>
    <font>
      <b val="true"/>
      <sz val="11"/>
      <color rgb="FFC00000"/>
      <name val="Malgun Gothic"/>
      <family val="0"/>
      <charset val="1"/>
    </font>
  </fonts>
  <fills count="12">
    <fill>
      <patternFill patternType="none"/>
    </fill>
    <fill>
      <patternFill patternType="gray125"/>
    </fill>
    <fill>
      <patternFill patternType="solid">
        <fgColor rgb="FF1F3864"/>
        <bgColor rgb="FF2E5C8A"/>
      </patternFill>
    </fill>
    <fill>
      <patternFill patternType="solid">
        <fgColor rgb="FF2E5C8A"/>
        <bgColor rgb="FF595959"/>
      </patternFill>
    </fill>
    <fill>
      <patternFill patternType="solid">
        <fgColor rgb="FFFFFF00"/>
        <bgColor rgb="FFFFFF00"/>
      </patternFill>
    </fill>
    <fill>
      <patternFill patternType="solid">
        <fgColor rgb="FFD9D9D9"/>
        <bgColor rgb="FFE2EFDA"/>
      </patternFill>
    </fill>
    <fill>
      <patternFill patternType="solid">
        <fgColor rgb="FFFCE4E4"/>
        <bgColor rgb="FFFFF2CC"/>
      </patternFill>
    </fill>
    <fill>
      <patternFill patternType="solid">
        <fgColor rgb="FFE2EFDA"/>
        <bgColor rgb="FFC6EFCE"/>
      </patternFill>
    </fill>
    <fill>
      <patternFill patternType="solid">
        <fgColor rgb="FFFFF2CC"/>
        <bgColor rgb="FFFCE4E4"/>
      </patternFill>
    </fill>
    <fill>
      <patternFill patternType="solid">
        <fgColor rgb="FFC6EFCE"/>
        <bgColor rgb="FFE2EFDA"/>
      </patternFill>
    </fill>
    <fill>
      <patternFill patternType="solid">
        <fgColor rgb="FFFFEB9C"/>
        <bgColor rgb="FFFFF2CC"/>
      </patternFill>
    </fill>
    <fill>
      <patternFill patternType="solid">
        <fgColor rgb="FFFFC7CE"/>
        <bgColor rgb="FFFCE4E4"/>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20">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true" applyAlignment="tru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8" fillId="0" borderId="0" xfId="0" applyFont="true" applyBorder="true" applyAlignment="true" applyProtection="false">
      <alignment horizontal="general" vertical="bottom" textRotation="0" wrapText="false" indent="0" shrinkToFit="false"/>
      <protection locked="true" hidden="false"/>
    </xf>
    <xf numFmtId="164" fontId="9" fillId="3" borderId="0" xfId="0" applyFont="true" applyBorder="true" applyAlignment="true" applyProtection="false">
      <alignment horizontal="general" vertical="bottom" textRotation="0" wrapText="false" indent="0" shrinkToFit="false"/>
      <protection locked="true" hidden="false"/>
    </xf>
    <xf numFmtId="164" fontId="10" fillId="0" borderId="1" xfId="0" applyFont="true" applyBorder="true" applyAlignment="true" applyProtection="false">
      <alignment horizontal="general" vertical="bottom" textRotation="0" wrapText="false" indent="0" shrinkToFit="false"/>
      <protection locked="true" hidden="false"/>
    </xf>
    <xf numFmtId="164" fontId="6" fillId="0" borderId="1" xfId="0" applyFont="true" applyBorder="true" applyAlignment="true" applyProtection="false">
      <alignment horizontal="general" vertical="bottom" textRotation="0" wrapText="false" indent="0" shrinkToFit="false"/>
      <protection locked="true" hidden="false"/>
    </xf>
    <xf numFmtId="164" fontId="11" fillId="0" borderId="1" xfId="0" applyFont="true" applyBorder="true" applyAlignment="true" applyProtection="false">
      <alignment horizontal="general" vertical="bottom" textRotation="0" wrapText="false" indent="0" shrinkToFit="false"/>
      <protection locked="true" hidden="false"/>
    </xf>
    <xf numFmtId="164" fontId="6" fillId="4" borderId="1" xfId="0" applyFont="true" applyBorder="true" applyAlignment="true" applyProtection="false">
      <alignment horizontal="general" vertical="bottom" textRotation="0" wrapText="false" indent="0" shrinkToFit="false"/>
      <protection locked="true" hidden="false"/>
    </xf>
    <xf numFmtId="164" fontId="12" fillId="0" borderId="0" xfId="0" applyFont="true" applyBorder="true" applyAlignment="true" applyProtection="false">
      <alignment horizontal="general" vertical="bottom" textRotation="0" wrapText="false" indent="0" shrinkToFit="false"/>
      <protection locked="true" hidden="false"/>
    </xf>
    <xf numFmtId="164" fontId="13" fillId="0" borderId="0" xfId="0" applyFont="true" applyBorder="true" applyAlignment="true" applyProtection="false">
      <alignment horizontal="general" vertical="bottom" textRotation="0" wrapText="false" indent="0" shrinkToFit="false"/>
      <protection locked="true" hidden="false"/>
    </xf>
    <xf numFmtId="164" fontId="14" fillId="3" borderId="0" xfId="0" applyFont="true" applyBorder="false" applyAlignment="true" applyProtection="false">
      <alignment horizontal="general" vertical="bottom" textRotation="0" wrapText="false" indent="0" shrinkToFit="false"/>
      <protection locked="true" hidden="false"/>
    </xf>
    <xf numFmtId="164" fontId="0" fillId="3" borderId="0" xfId="0" applyFont="false" applyBorder="false" applyAlignment="true" applyProtection="false">
      <alignment horizontal="general" vertical="bottom" textRotation="0" wrapText="false" indent="0" shrinkToFit="false"/>
      <protection locked="true" hidden="false"/>
    </xf>
    <xf numFmtId="164" fontId="15" fillId="0" borderId="0" xfId="0" applyFont="true" applyBorder="false" applyAlignment="true" applyProtection="false">
      <alignment horizontal="general" vertical="bottom" textRotation="0" wrapText="false" indent="0" shrinkToFit="false"/>
      <protection locked="true" hidden="false"/>
    </xf>
    <xf numFmtId="164" fontId="16" fillId="0" borderId="0" xfId="0" applyFont="true" applyBorder="false" applyAlignment="true" applyProtection="false">
      <alignment horizontal="general" vertical="bottom" textRotation="0" wrapText="false" indent="0" shrinkToFit="false"/>
      <protection locked="true" hidden="false"/>
    </xf>
    <xf numFmtId="164" fontId="17" fillId="0" borderId="0" xfId="0" applyFont="true" applyBorder="false" applyAlignment="true" applyProtection="false">
      <alignment horizontal="general" vertical="bottom" textRotation="0" wrapText="false" indent="0" shrinkToFit="false"/>
      <protection locked="true" hidden="false"/>
    </xf>
    <xf numFmtId="164" fontId="18" fillId="0" borderId="0" xfId="0" applyFont="true" applyBorder="false" applyAlignment="true" applyProtection="false">
      <alignment horizontal="general" vertical="bottom" textRotation="0" wrapText="false" indent="0" shrinkToFit="false"/>
      <protection locked="true" hidden="false"/>
    </xf>
    <xf numFmtId="164" fontId="19" fillId="0" borderId="0" xfId="0" applyFont="true" applyBorder="false" applyAlignment="true" applyProtection="false">
      <alignment horizontal="general" vertical="bottom" textRotation="0" wrapText="false" indent="0" shrinkToFit="false"/>
      <protection locked="true" hidden="false"/>
    </xf>
    <xf numFmtId="164" fontId="20" fillId="0" borderId="0" xfId="0" applyFont="true" applyBorder="false" applyAlignment="true" applyProtection="false">
      <alignment horizontal="general" vertical="bottom" textRotation="0" wrapText="false" indent="0" shrinkToFit="false"/>
      <protection locked="true" hidden="false"/>
    </xf>
    <xf numFmtId="164" fontId="21" fillId="2" borderId="0" xfId="0" applyFont="true" applyBorder="true" applyAlignment="true" applyProtection="false">
      <alignment horizontal="general" vertical="bottom" textRotation="0" wrapText="false" indent="0" shrinkToFit="false"/>
      <protection locked="true" hidden="false"/>
    </xf>
    <xf numFmtId="164" fontId="14" fillId="3" borderId="0" xfId="0" applyFont="true" applyBorder="true" applyAlignment="true" applyProtection="false">
      <alignment horizontal="general" vertical="bottom" textRotation="0" wrapText="false" indent="0" shrinkToFit="false"/>
      <protection locked="true" hidden="false"/>
    </xf>
    <xf numFmtId="164" fontId="5" fillId="5" borderId="1" xfId="0" applyFont="true" applyBorder="true" applyAlignment="true" applyProtection="false">
      <alignment horizontal="center" vertical="bottom" textRotation="0" wrapText="true" indent="0" shrinkToFit="false"/>
      <protection locked="true" hidden="false"/>
    </xf>
    <xf numFmtId="164" fontId="5" fillId="0" borderId="1" xfId="0" applyFont="true" applyBorder="true" applyAlignment="true" applyProtection="false">
      <alignment horizontal="general" vertical="center" textRotation="0" wrapText="true" indent="0" shrinkToFit="false"/>
      <protection locked="true" hidden="false"/>
    </xf>
    <xf numFmtId="164" fontId="8" fillId="0" borderId="1" xfId="0" applyFont="true" applyBorder="true" applyAlignment="true" applyProtection="false">
      <alignment horizontal="general" vertical="center" textRotation="0" wrapText="true" indent="0" shrinkToFit="false"/>
      <protection locked="true" hidden="false"/>
    </xf>
    <xf numFmtId="164" fontId="6" fillId="6" borderId="1" xfId="0" applyFont="true" applyBorder="true" applyAlignment="true" applyProtection="false">
      <alignment horizontal="general" vertical="center" textRotation="0" wrapText="true" indent="0" shrinkToFit="false"/>
      <protection locked="true" hidden="false"/>
    </xf>
    <xf numFmtId="164" fontId="8" fillId="7" borderId="1" xfId="0" applyFont="true" applyBorder="true" applyAlignment="true" applyProtection="false">
      <alignment horizontal="general" vertical="center" textRotation="0" wrapText="true" indent="0" shrinkToFit="false"/>
      <protection locked="true" hidden="false"/>
    </xf>
    <xf numFmtId="164" fontId="0" fillId="4" borderId="1" xfId="0" applyFont="false" applyBorder="true" applyAlignment="true" applyProtection="false">
      <alignment horizontal="general" vertical="bottom" textRotation="0" wrapText="false" indent="0" shrinkToFit="false"/>
      <protection locked="true" hidden="false"/>
    </xf>
    <xf numFmtId="164" fontId="6" fillId="7" borderId="1" xfId="0" applyFont="true" applyBorder="true" applyAlignment="true" applyProtection="false">
      <alignment horizontal="general" vertical="center" textRotation="0" wrapText="true" indent="0" shrinkToFit="false"/>
      <protection locked="true" hidden="false"/>
    </xf>
    <xf numFmtId="164" fontId="8" fillId="6" borderId="1" xfId="0" applyFont="true" applyBorder="true" applyAlignment="true" applyProtection="false">
      <alignment horizontal="general" vertical="center" textRotation="0" wrapText="true" indent="0" shrinkToFit="false"/>
      <protection locked="true" hidden="false"/>
    </xf>
    <xf numFmtId="164" fontId="6" fillId="0" borderId="1" xfId="0" applyFont="true" applyBorder="true" applyAlignment="true" applyProtection="false">
      <alignment horizontal="general" vertical="center" textRotation="0" wrapText="true" indent="0" shrinkToFit="false"/>
      <protection locked="true" hidden="false"/>
    </xf>
    <xf numFmtId="164" fontId="7" fillId="0" borderId="1" xfId="0" applyFont="true" applyBorder="true" applyAlignment="true" applyProtection="false">
      <alignment horizontal="general" vertical="center" textRotation="0" wrapText="true" indent="0" shrinkToFit="false"/>
      <protection locked="true" hidden="false"/>
    </xf>
    <xf numFmtId="164" fontId="8" fillId="0" borderId="0" xfId="0" applyFont="true" applyBorder="true" applyAlignment="true" applyProtection="false">
      <alignment horizontal="general" vertical="center" textRotation="0" wrapText="true" indent="0" shrinkToFit="false"/>
      <protection locked="true" hidden="false"/>
    </xf>
    <xf numFmtId="164" fontId="6" fillId="0" borderId="0" xfId="0" applyFont="true" applyBorder="true" applyAlignment="true" applyProtection="false">
      <alignment horizontal="general" vertical="center" textRotation="0" wrapText="true" indent="0" shrinkToFit="false"/>
      <protection locked="true" hidden="false"/>
    </xf>
    <xf numFmtId="164" fontId="13" fillId="0" borderId="0" xfId="0" applyFont="true" applyBorder="true" applyAlignment="true" applyProtection="false">
      <alignment horizontal="general" vertical="center" textRotation="0" wrapText="true" indent="0" shrinkToFit="false"/>
      <protection locked="true" hidden="false"/>
    </xf>
    <xf numFmtId="164" fontId="5" fillId="5" borderId="1" xfId="0" applyFont="true" applyBorder="true" applyAlignment="true" applyProtection="false">
      <alignment horizontal="general" vertical="bottom" textRotation="0" wrapText="false" indent="0" shrinkToFit="false"/>
      <protection locked="true" hidden="false"/>
    </xf>
    <xf numFmtId="165" fontId="22" fillId="0" borderId="1" xfId="0" applyFont="true" applyBorder="true" applyAlignment="true" applyProtection="false">
      <alignment horizontal="general" vertical="bottom" textRotation="0" wrapText="false" indent="0" shrinkToFit="false"/>
      <protection locked="true" hidden="false"/>
    </xf>
    <xf numFmtId="164" fontId="8" fillId="0" borderId="1" xfId="0" applyFont="true" applyBorder="true" applyAlignment="true" applyProtection="false">
      <alignment horizontal="center" vertical="bottom" textRotation="0" wrapText="false" indent="0" shrinkToFit="false"/>
      <protection locked="true" hidden="false"/>
    </xf>
    <xf numFmtId="164" fontId="12" fillId="0" borderId="1" xfId="0" applyFont="true" applyBorder="true" applyAlignment="true" applyProtection="false">
      <alignment horizontal="general" vertical="bottom" textRotation="0" wrapText="false" indent="0" shrinkToFit="false"/>
      <protection locked="true" hidden="false"/>
    </xf>
    <xf numFmtId="166" fontId="22" fillId="0" borderId="1" xfId="0" applyFont="true" applyBorder="true" applyAlignment="true" applyProtection="false">
      <alignment horizontal="general" vertical="bottom" textRotation="0" wrapText="false" indent="0" shrinkToFit="false"/>
      <protection locked="true" hidden="false"/>
    </xf>
    <xf numFmtId="164" fontId="6" fillId="0" borderId="1" xfId="0" applyFont="true" applyBorder="true" applyAlignment="true" applyProtection="false">
      <alignment horizontal="center" vertical="bottom" textRotation="0" wrapText="false" indent="0" shrinkToFit="false"/>
      <protection locked="true" hidden="false"/>
    </xf>
    <xf numFmtId="164" fontId="23" fillId="0" borderId="1" xfId="0" applyFont="true" applyBorder="true" applyAlignment="true" applyProtection="false">
      <alignment horizontal="general" vertical="bottom" textRotation="0" wrapText="false" indent="0" shrinkToFit="false"/>
      <protection locked="true" hidden="false"/>
    </xf>
    <xf numFmtId="166" fontId="8" fillId="0" borderId="1" xfId="0" applyFont="true" applyBorder="true" applyAlignment="true" applyProtection="false">
      <alignment horizontal="general" vertical="bottom" textRotation="0" wrapText="false" indent="0" shrinkToFit="false"/>
      <protection locked="true" hidden="false"/>
    </xf>
    <xf numFmtId="167" fontId="8" fillId="0" borderId="1" xfId="0" applyFont="true" applyBorder="true" applyAlignment="true" applyProtection="false">
      <alignment horizontal="general" vertical="bottom" textRotation="0" wrapText="false" indent="0" shrinkToFit="false"/>
      <protection locked="true" hidden="false"/>
    </xf>
    <xf numFmtId="168" fontId="22" fillId="4" borderId="1" xfId="0" applyFont="true" applyBorder="true" applyAlignment="true" applyProtection="false">
      <alignment horizontal="general" vertical="bottom" textRotation="0" wrapText="false" indent="0" shrinkToFit="false"/>
      <protection locked="true" hidden="false"/>
    </xf>
    <xf numFmtId="169" fontId="22" fillId="4" borderId="1" xfId="0" applyFont="true" applyBorder="true" applyAlignment="true" applyProtection="false">
      <alignment horizontal="general" vertical="bottom" textRotation="0" wrapText="false" indent="0" shrinkToFit="false"/>
      <protection locked="true" hidden="false"/>
    </xf>
    <xf numFmtId="168" fontId="8" fillId="0" borderId="1" xfId="0" applyFont="true" applyBorder="true" applyAlignment="true" applyProtection="false">
      <alignment horizontal="general" vertical="bottom" textRotation="0" wrapText="false" indent="0" shrinkToFit="false"/>
      <protection locked="true" hidden="false"/>
    </xf>
    <xf numFmtId="164" fontId="8" fillId="0" borderId="1" xfId="0" applyFont="true" applyBorder="true" applyAlignment="true" applyProtection="false">
      <alignment horizontal="general" vertical="bottom" textRotation="0" wrapText="false" indent="0" shrinkToFit="false"/>
      <protection locked="true" hidden="false"/>
    </xf>
    <xf numFmtId="165" fontId="22" fillId="4" borderId="1" xfId="0" applyFont="true" applyBorder="true" applyAlignment="true" applyProtection="false">
      <alignment horizontal="general" vertical="bottom" textRotation="0" wrapText="false" indent="0" shrinkToFit="false"/>
      <protection locked="true" hidden="false"/>
    </xf>
    <xf numFmtId="165" fontId="8" fillId="0" borderId="1" xfId="0" applyFont="true" applyBorder="true" applyAlignment="true" applyProtection="false">
      <alignment horizontal="general" vertical="bottom" textRotation="0" wrapText="false" indent="0" shrinkToFit="false"/>
      <protection locked="true" hidden="false"/>
    </xf>
    <xf numFmtId="165" fontId="24" fillId="0" borderId="1" xfId="0" applyFont="true" applyBorder="true" applyAlignment="true" applyProtection="false">
      <alignment horizontal="general" vertical="bottom" textRotation="0" wrapText="false" indent="0" shrinkToFit="false"/>
      <protection locked="true" hidden="false"/>
    </xf>
    <xf numFmtId="166" fontId="22" fillId="4" borderId="1" xfId="0" applyFont="true" applyBorder="true" applyAlignment="true" applyProtection="false">
      <alignment horizontal="general" vertical="bottom" textRotation="0" wrapText="false" indent="0" shrinkToFit="false"/>
      <protection locked="true" hidden="false"/>
    </xf>
    <xf numFmtId="167" fontId="22" fillId="4" borderId="1" xfId="0" applyFont="true" applyBorder="true" applyAlignment="true" applyProtection="false">
      <alignment horizontal="general" vertical="bottom" textRotation="0" wrapText="false" indent="0" shrinkToFit="false"/>
      <protection locked="true" hidden="false"/>
    </xf>
    <xf numFmtId="170" fontId="22" fillId="4" borderId="1" xfId="0" applyFont="true" applyBorder="true" applyAlignment="true" applyProtection="false">
      <alignment horizontal="general" vertical="bottom" textRotation="0" wrapText="false" indent="0" shrinkToFit="false"/>
      <protection locked="true" hidden="false"/>
    </xf>
    <xf numFmtId="164" fontId="23" fillId="0" borderId="0" xfId="0" applyFont="true" applyBorder="true" applyAlignment="true" applyProtection="false">
      <alignment horizontal="general" vertical="bottom" textRotation="0" wrapText="false" indent="0" shrinkToFit="false"/>
      <protection locked="true" hidden="false"/>
    </xf>
    <xf numFmtId="167" fontId="22" fillId="0" borderId="1" xfId="0" applyFont="true" applyBorder="true" applyAlignment="true" applyProtection="false">
      <alignment horizontal="general" vertical="bottom" textRotation="0" wrapText="false" indent="0" shrinkToFit="false"/>
      <protection locked="true" hidden="false"/>
    </xf>
    <xf numFmtId="169" fontId="22" fillId="0" borderId="1" xfId="0" applyFont="true" applyBorder="true" applyAlignment="true" applyProtection="false">
      <alignment horizontal="general" vertical="bottom" textRotation="0" wrapText="false" indent="0" shrinkToFit="false"/>
      <protection locked="true" hidden="false"/>
    </xf>
    <xf numFmtId="168" fontId="22" fillId="0" borderId="1" xfId="0" applyFont="true" applyBorder="true" applyAlignment="true" applyProtection="false">
      <alignment horizontal="general" vertical="bottom" textRotation="0" wrapText="false" indent="0" shrinkToFit="false"/>
      <protection locked="true" hidden="false"/>
    </xf>
    <xf numFmtId="164" fontId="5" fillId="5" borderId="1" xfId="0" applyFont="true" applyBorder="true" applyAlignment="true" applyProtection="false">
      <alignment horizontal="center" vertical="bottom" textRotation="0" wrapText="false" indent="0" shrinkToFit="false"/>
      <protection locked="true" hidden="false"/>
    </xf>
    <xf numFmtId="164" fontId="7" fillId="5" borderId="1" xfId="0" applyFont="true" applyBorder="true" applyAlignment="true" applyProtection="false">
      <alignment horizontal="center" vertical="bottom" textRotation="0" wrapText="false" indent="0" shrinkToFit="false"/>
      <protection locked="true" hidden="false"/>
    </xf>
    <xf numFmtId="164" fontId="5" fillId="0" borderId="1" xfId="0" applyFont="true" applyBorder="true" applyAlignment="true" applyProtection="false">
      <alignment horizontal="general" vertical="bottom" textRotation="0" wrapText="false" indent="0" shrinkToFit="false"/>
      <protection locked="true" hidden="false"/>
    </xf>
    <xf numFmtId="166" fontId="22" fillId="8" borderId="1" xfId="0" applyFont="true" applyBorder="true" applyAlignment="true" applyProtection="false">
      <alignment horizontal="general" vertical="bottom" textRotation="0" wrapText="false" indent="0" shrinkToFit="false"/>
      <protection locked="true" hidden="false"/>
    </xf>
    <xf numFmtId="166" fontId="8" fillId="7" borderId="1" xfId="0" applyFont="true" applyBorder="true" applyAlignment="tru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general" vertical="bottom" textRotation="0" wrapText="false" indent="0" shrinkToFit="false"/>
      <protection locked="true" hidden="false"/>
    </xf>
    <xf numFmtId="165" fontId="22" fillId="8" borderId="1" xfId="0" applyFont="true" applyBorder="true" applyAlignment="true" applyProtection="false">
      <alignment horizontal="general" vertical="bottom" textRotation="0" wrapText="false" indent="0" shrinkToFit="false"/>
      <protection locked="true" hidden="false"/>
    </xf>
    <xf numFmtId="165" fontId="8" fillId="7" borderId="1" xfId="0" applyFont="true" applyBorder="true" applyAlignment="true" applyProtection="false">
      <alignment horizontal="general" vertical="bottom" textRotation="0" wrapText="false" indent="0" shrinkToFit="false"/>
      <protection locked="true" hidden="false"/>
    </xf>
    <xf numFmtId="168" fontId="22" fillId="8" borderId="1" xfId="0" applyFont="true" applyBorder="true" applyAlignment="true" applyProtection="false">
      <alignment horizontal="general" vertical="bottom" textRotation="0" wrapText="false" indent="0" shrinkToFit="false"/>
      <protection locked="true" hidden="false"/>
    </xf>
    <xf numFmtId="168" fontId="8" fillId="7" borderId="1" xfId="0" applyFont="true" applyBorder="true" applyAlignment="true" applyProtection="false">
      <alignment horizontal="general" vertical="bottom" textRotation="0" wrapText="false" indent="0" shrinkToFit="false"/>
      <protection locked="true" hidden="false"/>
    </xf>
    <xf numFmtId="165" fontId="22" fillId="0" borderId="1" xfId="0" applyFont="true" applyBorder="true" applyAlignment="true" applyProtection="false">
      <alignment horizontal="right" vertical="bottom" textRotation="0" wrapText="false" indent="0" shrinkToFit="false"/>
      <protection locked="true" hidden="false"/>
    </xf>
    <xf numFmtId="165" fontId="22" fillId="8" borderId="1" xfId="0" applyFont="true" applyBorder="true" applyAlignment="true" applyProtection="false">
      <alignment horizontal="right" vertical="bottom" textRotation="0" wrapText="false" indent="0" shrinkToFit="false"/>
      <protection locked="true" hidden="false"/>
    </xf>
    <xf numFmtId="167" fontId="22" fillId="0" borderId="1" xfId="0" applyFont="true" applyBorder="true" applyAlignment="true" applyProtection="false">
      <alignment horizontal="right" vertical="bottom" textRotation="0" wrapText="false" indent="0" shrinkToFit="false"/>
      <protection locked="true" hidden="false"/>
    </xf>
    <xf numFmtId="167" fontId="22" fillId="8" borderId="1" xfId="0" applyFont="true" applyBorder="true" applyAlignment="true" applyProtection="false">
      <alignment horizontal="right" vertical="bottom" textRotation="0" wrapText="false" indent="0" shrinkToFit="false"/>
      <protection locked="true" hidden="false"/>
    </xf>
    <xf numFmtId="167" fontId="8" fillId="7" borderId="1" xfId="0" applyFont="true" applyBorder="true" applyAlignment="true" applyProtection="false">
      <alignment horizontal="general" vertical="bottom" textRotation="0" wrapText="false" indent="0" shrinkToFit="false"/>
      <protection locked="true" hidden="false"/>
    </xf>
    <xf numFmtId="171" fontId="10" fillId="0" borderId="1" xfId="0" applyFont="true" applyBorder="true" applyAlignment="true" applyProtection="false">
      <alignment horizontal="center" vertical="bottom" textRotation="0" wrapText="false" indent="0" shrinkToFit="false"/>
      <protection locked="true" hidden="false"/>
    </xf>
    <xf numFmtId="164" fontId="25" fillId="0" borderId="0" xfId="0" applyFont="true" applyBorder="true" applyAlignment="true" applyProtection="false">
      <alignment horizontal="general" vertical="bottom" textRotation="0" wrapText="false" indent="0" shrinkToFit="false"/>
      <protection locked="true" hidden="false"/>
    </xf>
    <xf numFmtId="171" fontId="24" fillId="0" borderId="1" xfId="0" applyFont="true" applyBorder="true" applyAlignment="true" applyProtection="false">
      <alignment horizontal="general" vertical="bottom" textRotation="0" wrapText="false" indent="0" shrinkToFit="false"/>
      <protection locked="true" hidden="false"/>
    </xf>
    <xf numFmtId="168" fontId="24" fillId="0" borderId="1" xfId="0" applyFont="true" applyBorder="true" applyAlignment="true" applyProtection="false">
      <alignment horizontal="general" vertical="bottom" textRotation="0" wrapText="false" indent="0" shrinkToFit="false"/>
      <protection locked="true" hidden="false"/>
    </xf>
    <xf numFmtId="167" fontId="8" fillId="8" borderId="1" xfId="0" applyFont="true" applyBorder="true" applyAlignment="true" applyProtection="false">
      <alignment horizontal="general" vertical="bottom" textRotation="0" wrapText="false" indent="0" shrinkToFit="false"/>
      <protection locked="true" hidden="false"/>
    </xf>
    <xf numFmtId="165" fontId="8" fillId="8" borderId="1" xfId="0" applyFont="true" applyBorder="true" applyAlignment="true" applyProtection="false">
      <alignment horizontal="general" vertical="bottom" textRotation="0" wrapText="false" indent="0" shrinkToFit="false"/>
      <protection locked="true" hidden="false"/>
    </xf>
    <xf numFmtId="168" fontId="8" fillId="8" borderId="1" xfId="0" applyFont="true" applyBorder="true" applyAlignment="true" applyProtection="false">
      <alignment horizontal="general" vertical="bottom" textRotation="0" wrapText="false" indent="0" shrinkToFit="false"/>
      <protection locked="true" hidden="false"/>
    </xf>
    <xf numFmtId="164" fontId="7" fillId="5" borderId="1" xfId="0" applyFont="true" applyBorder="true" applyAlignment="true" applyProtection="false">
      <alignment horizontal="general" vertical="bottom" textRotation="0" wrapText="false" indent="0" shrinkToFit="false"/>
      <protection locked="true" hidden="false"/>
    </xf>
    <xf numFmtId="168" fontId="22" fillId="5" borderId="1" xfId="0" applyFont="true" applyBorder="true" applyAlignment="true" applyProtection="false">
      <alignment horizontal="center" vertical="bottom" textRotation="0" wrapText="false" indent="0" shrinkToFit="false"/>
      <protection locked="true" hidden="false"/>
    </xf>
    <xf numFmtId="172" fontId="8" fillId="0" borderId="1" xfId="0" applyFont="true" applyBorder="true" applyAlignment="true" applyProtection="false">
      <alignment horizontal="general" vertical="bottom" textRotation="0" wrapText="false" indent="0" shrinkToFit="false"/>
      <protection locked="true" hidden="false"/>
    </xf>
    <xf numFmtId="168" fontId="22" fillId="0" borderId="1" xfId="0" applyFont="true" applyBorder="true" applyAlignment="true" applyProtection="false">
      <alignment horizontal="center" vertical="bottom" textRotation="0" wrapText="false" indent="0" shrinkToFit="false"/>
      <protection locked="true" hidden="false"/>
    </xf>
    <xf numFmtId="166" fontId="24" fillId="0" borderId="1" xfId="0" applyFont="true" applyBorder="true" applyAlignment="true" applyProtection="false">
      <alignment horizontal="general" vertical="bottom" textRotation="0" wrapText="false" indent="0" shrinkToFit="false"/>
      <protection locked="true" hidden="false"/>
    </xf>
    <xf numFmtId="166" fontId="8" fillId="8" borderId="1" xfId="0" applyFont="true" applyBorder="true" applyAlignment="true" applyProtection="false">
      <alignment horizontal="general" vertical="bottom" textRotation="0" wrapText="false" indent="0" shrinkToFit="false"/>
      <protection locked="true" hidden="false"/>
    </xf>
    <xf numFmtId="167" fontId="24" fillId="0" borderId="1" xfId="0" applyFont="true" applyBorder="true" applyAlignment="true" applyProtection="false">
      <alignment horizontal="general" vertical="bottom" textRotation="0" wrapText="false" indent="0" shrinkToFit="false"/>
      <protection locked="true" hidden="false"/>
    </xf>
    <xf numFmtId="167" fontId="22" fillId="5" borderId="1" xfId="0" applyFont="true" applyBorder="true" applyAlignment="true" applyProtection="false">
      <alignment horizontal="center" vertical="bottom" textRotation="0" wrapText="false" indent="0" shrinkToFit="false"/>
      <protection locked="true" hidden="false"/>
    </xf>
    <xf numFmtId="164" fontId="7" fillId="5" borderId="1" xfId="0" applyFont="true" applyBorder="true" applyAlignment="true" applyProtection="false">
      <alignment horizontal="center" vertical="bottom" textRotation="0" wrapText="true" indent="0" shrinkToFit="false"/>
      <protection locked="true" hidden="false"/>
    </xf>
    <xf numFmtId="164" fontId="5" fillId="7" borderId="1" xfId="0" applyFont="true" applyBorder="true" applyAlignment="true" applyProtection="false">
      <alignment horizontal="general" vertical="bottom" textRotation="0" wrapText="false" indent="0" shrinkToFit="false"/>
      <protection locked="true" hidden="false"/>
    </xf>
    <xf numFmtId="172" fontId="22" fillId="0" borderId="1" xfId="0" applyFont="true" applyBorder="true" applyAlignment="true" applyProtection="false">
      <alignment horizontal="general" vertical="bottom" textRotation="0" wrapText="false" indent="0" shrinkToFit="false"/>
      <protection locked="true" hidden="false"/>
    </xf>
    <xf numFmtId="172" fontId="8" fillId="7" borderId="1" xfId="0" applyFont="true" applyBorder="true" applyAlignment="true" applyProtection="false">
      <alignment horizontal="general" vertical="bottom" textRotation="0" wrapText="false" indent="0" shrinkToFit="false"/>
      <protection locked="true" hidden="false"/>
    </xf>
    <xf numFmtId="164" fontId="5" fillId="8" borderId="1" xfId="0" applyFont="true" applyBorder="true" applyAlignment="true" applyProtection="false">
      <alignment horizontal="general" vertical="bottom" textRotation="0" wrapText="false" indent="0" shrinkToFit="false"/>
      <protection locked="true" hidden="false"/>
    </xf>
    <xf numFmtId="172" fontId="8" fillId="8" borderId="1" xfId="0" applyFont="true" applyBorder="true" applyAlignment="true" applyProtection="false">
      <alignment horizontal="general" vertical="bottom" textRotation="0" wrapText="false" indent="0" shrinkToFit="false"/>
      <protection locked="true" hidden="false"/>
    </xf>
    <xf numFmtId="164" fontId="5" fillId="6" borderId="1" xfId="0" applyFont="true" applyBorder="true" applyAlignment="true" applyProtection="false">
      <alignment horizontal="general" vertical="bottom" textRotation="0" wrapText="false" indent="0" shrinkToFit="false"/>
      <protection locked="true" hidden="false"/>
    </xf>
    <xf numFmtId="172" fontId="8" fillId="6" borderId="1" xfId="0" applyFont="true" applyBorder="true" applyAlignment="tru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bottom" textRotation="0" wrapText="false" indent="0" shrinkToFit="false"/>
      <protection locked="true" hidden="false"/>
    </xf>
    <xf numFmtId="164" fontId="9" fillId="3" borderId="0" xfId="0" applyFont="true" applyBorder="false" applyAlignment="true" applyProtection="false">
      <alignment horizontal="general" vertical="bottom" textRotation="0" wrapText="false" indent="0" shrinkToFit="false"/>
      <protection locked="true" hidden="false"/>
    </xf>
    <xf numFmtId="164" fontId="15" fillId="5" borderId="0" xfId="0" applyFont="true" applyBorder="false" applyAlignment="true" applyProtection="false">
      <alignment horizontal="left" vertical="bottom" textRotation="0" wrapText="false" indent="0" shrinkToFit="false"/>
      <protection locked="true" hidden="false"/>
    </xf>
    <xf numFmtId="164" fontId="17" fillId="5" borderId="0" xfId="0" applyFont="true" applyBorder="false" applyAlignment="true" applyProtection="false">
      <alignment horizontal="center" vertical="bottom" textRotation="0" wrapText="false" indent="0" shrinkToFit="false"/>
      <protection locked="true" hidden="false"/>
    </xf>
    <xf numFmtId="164" fontId="15" fillId="5" borderId="0" xfId="0" applyFont="true" applyBorder="false" applyAlignment="true" applyProtection="false">
      <alignment horizontal="center" vertical="bottom" textRotation="0" wrapText="false" indent="0" shrinkToFit="false"/>
      <protection locked="true" hidden="false"/>
    </xf>
    <xf numFmtId="167" fontId="22" fillId="4" borderId="0" xfId="0" applyFont="true" applyBorder="false" applyAlignment="true" applyProtection="false">
      <alignment horizontal="general" vertical="bottom" textRotation="0" wrapText="false" indent="0" shrinkToFit="false"/>
      <protection locked="true" hidden="false"/>
    </xf>
    <xf numFmtId="168" fontId="22" fillId="4" borderId="0" xfId="0" applyFont="true" applyBorder="false" applyAlignment="true" applyProtection="false">
      <alignment horizontal="general" vertical="bottom" textRotation="0" wrapText="false" indent="0" shrinkToFit="false"/>
      <protection locked="true" hidden="false"/>
    </xf>
    <xf numFmtId="168" fontId="24" fillId="4" borderId="0" xfId="0" applyFont="true" applyBorder="false" applyAlignment="true" applyProtection="false">
      <alignment horizontal="general" vertical="bottom" textRotation="0" wrapText="false" indent="0" shrinkToFit="false"/>
      <protection locked="true" hidden="false"/>
    </xf>
    <xf numFmtId="168" fontId="18" fillId="4" borderId="0" xfId="0" applyFont="true" applyBorder="false" applyAlignment="true" applyProtection="false">
      <alignment horizontal="general" vertical="bottom" textRotation="0" wrapText="false" indent="0" shrinkToFit="false"/>
      <protection locked="true" hidden="false"/>
    </xf>
    <xf numFmtId="167" fontId="24" fillId="0" borderId="0" xfId="0" applyFont="true" applyBorder="false" applyAlignment="true" applyProtection="false">
      <alignment horizontal="general" vertical="bottom" textRotation="0" wrapText="false" indent="0" shrinkToFit="false"/>
      <protection locked="true" hidden="false"/>
    </xf>
    <xf numFmtId="168" fontId="24" fillId="0" borderId="0" xfId="0" applyFont="true" applyBorder="false" applyAlignment="true" applyProtection="false">
      <alignment horizontal="general" vertical="bottom" textRotation="0" wrapText="false" indent="0" shrinkToFit="false"/>
      <protection locked="true" hidden="false"/>
    </xf>
    <xf numFmtId="173" fontId="24" fillId="0" borderId="0" xfId="0" applyFont="true" applyBorder="false" applyAlignment="true" applyProtection="false">
      <alignment horizontal="general" vertical="bottom" textRotation="0" wrapText="false" indent="0" shrinkToFit="false"/>
      <protection locked="true" hidden="false"/>
    </xf>
    <xf numFmtId="168" fontId="18" fillId="0" borderId="0" xfId="0" applyFont="true" applyBorder="false" applyAlignment="true" applyProtection="false">
      <alignment horizontal="general" vertical="bottom" textRotation="0" wrapText="false" indent="0" shrinkToFit="false"/>
      <protection locked="true" hidden="false"/>
    </xf>
    <xf numFmtId="168" fontId="19" fillId="0" borderId="0" xfId="0" applyFont="true" applyBorder="false" applyAlignment="true" applyProtection="false">
      <alignment horizontal="general" vertical="bottom" textRotation="0" wrapText="false" indent="0" shrinkToFit="false"/>
      <protection locked="true" hidden="false"/>
    </xf>
    <xf numFmtId="173" fontId="19" fillId="0" borderId="0" xfId="0" applyFont="true" applyBorder="false" applyAlignment="true" applyProtection="false">
      <alignment horizontal="general" vertical="bottom" textRotation="0" wrapText="false" indent="0" shrinkToFit="false"/>
      <protection locked="true" hidden="false"/>
    </xf>
    <xf numFmtId="168" fontId="20" fillId="0" borderId="0" xfId="0" applyFont="true" applyBorder="false" applyAlignment="true" applyProtection="false">
      <alignment horizontal="general" vertical="bottom" textRotation="0" wrapText="false" indent="0" shrinkToFit="false"/>
      <protection locked="true" hidden="false"/>
    </xf>
    <xf numFmtId="174" fontId="19" fillId="0" borderId="0" xfId="0" applyFont="true" applyBorder="false" applyAlignment="true" applyProtection="false">
      <alignment horizontal="general" vertical="bottom" textRotation="0" wrapText="false" indent="0" shrinkToFit="false"/>
      <protection locked="true" hidden="false"/>
    </xf>
    <xf numFmtId="167" fontId="19" fillId="0" borderId="0" xfId="0" applyFont="true" applyBorder="false" applyAlignment="true" applyProtection="false">
      <alignment horizontal="general" vertical="bottom" textRotation="0" wrapText="false" indent="0" shrinkToFit="false"/>
      <protection locked="true" hidden="false"/>
    </xf>
    <xf numFmtId="168" fontId="17" fillId="0" borderId="0" xfId="0" applyFont="true" applyBorder="false" applyAlignment="true" applyProtection="false">
      <alignment horizontal="general" vertical="bottom" textRotation="0" wrapText="false" indent="0" shrinkToFit="false"/>
      <protection locked="true" hidden="false"/>
    </xf>
    <xf numFmtId="170" fontId="22" fillId="0" borderId="1" xfId="0" applyFont="true" applyBorder="true" applyAlignment="true" applyProtection="false">
      <alignment horizontal="general" vertical="bottom" textRotation="0" wrapText="false" indent="0" shrinkToFit="false"/>
      <protection locked="true" hidden="false"/>
    </xf>
    <xf numFmtId="170" fontId="22" fillId="8" borderId="1" xfId="0" applyFont="true" applyBorder="true" applyAlignment="true" applyProtection="false">
      <alignment horizontal="general" vertical="bottom" textRotation="0" wrapText="false" indent="0" shrinkToFit="false"/>
      <protection locked="true" hidden="false"/>
    </xf>
    <xf numFmtId="171" fontId="22" fillId="0" borderId="1" xfId="0" applyFont="true" applyBorder="true" applyAlignment="true" applyProtection="false">
      <alignment horizontal="general" vertical="bottom" textRotation="0" wrapText="false" indent="0" shrinkToFit="false"/>
      <protection locked="true" hidden="false"/>
    </xf>
    <xf numFmtId="168" fontId="24" fillId="4" borderId="1" xfId="0" applyFont="true" applyBorder="true" applyAlignment="true" applyProtection="false">
      <alignment horizontal="general" vertical="bottom" textRotation="0" wrapText="false" indent="0" shrinkToFit="false"/>
      <protection locked="true" hidden="false"/>
    </xf>
    <xf numFmtId="164" fontId="18" fillId="0" borderId="1" xfId="0" applyFont="true" applyBorder="true" applyAlignment="true" applyProtection="false">
      <alignment horizontal="general" vertical="bottom" textRotation="0" wrapText="false" indent="0" shrinkToFit="false"/>
      <protection locked="true" hidden="false"/>
    </xf>
    <xf numFmtId="164" fontId="12" fillId="0" borderId="1" xfId="0" applyFont="true" applyBorder="true" applyAlignment="true" applyProtection="false">
      <alignment horizontal="center" vertical="bottom" textRotation="0" wrapText="false" indent="0" shrinkToFit="false"/>
      <protection locked="true" hidden="false"/>
    </xf>
    <xf numFmtId="172" fontId="24" fillId="4" borderId="1" xfId="0" applyFont="true" applyBorder="true" applyAlignment="true" applyProtection="false">
      <alignment horizontal="general" vertical="bottom" textRotation="0" wrapText="false" indent="0" shrinkToFit="false"/>
      <protection locked="true" hidden="false"/>
    </xf>
    <xf numFmtId="164" fontId="5" fillId="7" borderId="1" xfId="0" applyFont="true" applyBorder="true" applyAlignment="true" applyProtection="false">
      <alignment horizontal="center" vertical="bottom" textRotation="0" wrapText="false" indent="0" shrinkToFit="false"/>
      <protection locked="true" hidden="false"/>
    </xf>
    <xf numFmtId="164" fontId="5" fillId="6" borderId="1" xfId="0" applyFont="true" applyBorder="true" applyAlignment="true" applyProtection="false">
      <alignment horizontal="center" vertical="bottom" textRotation="0" wrapText="false" indent="0" shrinkToFit="false"/>
      <protection locked="true" hidden="false"/>
    </xf>
    <xf numFmtId="164" fontId="5" fillId="8" borderId="1" xfId="0" applyFont="true" applyBorder="true" applyAlignment="true" applyProtection="false">
      <alignment horizontal="center" vertical="bottom" textRotation="0" wrapText="false" indent="0" shrinkToFit="false"/>
      <protection locked="true" hidden="false"/>
    </xf>
    <xf numFmtId="166" fontId="22" fillId="6" borderId="1" xfId="0" applyFont="true" applyBorder="true" applyAlignment="true" applyProtection="false">
      <alignment horizontal="right" vertical="bottom" textRotation="0" wrapText="false" indent="0" shrinkToFit="false"/>
      <protection locked="true" hidden="false"/>
    </xf>
    <xf numFmtId="166" fontId="22" fillId="0" borderId="1" xfId="0" applyFont="true" applyBorder="true" applyAlignment="true" applyProtection="false">
      <alignment horizontal="right" vertical="bottom" textRotation="0" wrapText="false" indent="0" shrinkToFit="false"/>
      <protection locked="true" hidden="false"/>
    </xf>
    <xf numFmtId="171" fontId="22" fillId="0" borderId="1" xfId="0" applyFont="true" applyBorder="true" applyAlignment="true" applyProtection="false">
      <alignment horizontal="center" vertical="bottom" textRotation="0" wrapText="false" indent="0" shrinkToFit="false"/>
      <protection locked="true" hidden="false"/>
    </xf>
    <xf numFmtId="168" fontId="22" fillId="6" borderId="1" xfId="0" applyFont="true" applyBorder="true" applyAlignment="true" applyProtection="false">
      <alignment horizontal="right" vertical="bottom" textRotation="0" wrapText="false" indent="0" shrinkToFit="false"/>
      <protection locked="true" hidden="false"/>
    </xf>
    <xf numFmtId="164" fontId="7" fillId="7" borderId="1" xfId="0" applyFont="true" applyBorder="true" applyAlignment="true" applyProtection="false">
      <alignment horizontal="general" vertical="bottom" textRotation="0" wrapText="false" indent="0" shrinkToFit="false"/>
      <protection locked="true" hidden="false"/>
    </xf>
    <xf numFmtId="164" fontId="7" fillId="8" borderId="1" xfId="0" applyFont="true" applyBorder="true" applyAlignment="true" applyProtection="false">
      <alignment horizontal="general" vertical="bottom" textRotation="0" wrapText="false" indent="0" shrinkToFit="false"/>
      <protection locked="true" hidden="false"/>
    </xf>
    <xf numFmtId="164" fontId="18" fillId="0" borderId="0" xfId="0" applyFont="true" applyBorder="true" applyAlignment="true" applyProtection="false">
      <alignment horizontal="general" vertical="bottom" textRotation="0" wrapText="false" indent="0" shrinkToFit="false"/>
      <protection locked="true" hidden="false"/>
    </xf>
    <xf numFmtId="164" fontId="7" fillId="6" borderId="1" xfId="0" applyFont="true" applyBorder="true" applyAlignment="true" applyProtection="false">
      <alignment horizontal="general" vertical="bottom" textRotation="0" wrapText="false" indent="0" shrinkToFit="false"/>
      <protection locked="true" hidden="false"/>
    </xf>
    <xf numFmtId="164" fontId="25" fillId="0" borderId="0" xfId="0" applyFont="true" applyBorder="true" applyAlignment="true" applyProtection="false">
      <alignment horizontal="general" vertical="center" textRotation="0" wrapText="true" indent="0" shrinkToFit="false"/>
      <protection locked="true" hidden="false"/>
    </xf>
    <xf numFmtId="172" fontId="22" fillId="5" borderId="1" xfId="0" applyFont="true" applyBorder="true" applyAlignment="true" applyProtection="false">
      <alignment horizontal="center" vertical="bottom" textRotation="0" wrapText="false" indent="0" shrinkToFit="false"/>
      <protection locked="true" hidden="false"/>
    </xf>
    <xf numFmtId="166" fontId="22" fillId="5" borderId="1" xfId="0" applyFont="true" applyBorder="true" applyAlignment="true" applyProtection="false">
      <alignment horizontal="general" vertical="bottom" textRotation="0" wrapText="false" indent="0" shrinkToFit="false"/>
      <protection locked="true" hidden="false"/>
    </xf>
    <xf numFmtId="172" fontId="24" fillId="0" borderId="1" xfId="0" applyFont="true" applyBorder="true" applyAlignment="true" applyProtection="false">
      <alignment horizontal="general" vertical="bottom" textRotation="0" wrapText="false" indent="0" shrinkToFit="false"/>
      <protection locked="true" hidden="false"/>
    </xf>
    <xf numFmtId="164" fontId="5" fillId="0" borderId="1" xfId="0" applyFont="true" applyBorder="true" applyAlignment="true" applyProtection="false">
      <alignment horizontal="center" vertical="bottom" textRotation="0" wrapText="false" indent="0" shrinkToFit="false"/>
      <protection locked="true" hidden="false"/>
    </xf>
    <xf numFmtId="164" fontId="12" fillId="0" borderId="0" xfId="0" applyFont="true" applyBorder="true" applyAlignment="true" applyProtection="false">
      <alignment horizontal="general" vertical="center" textRotation="0" wrapText="true" indent="0" shrinkToFit="false"/>
      <protection locked="true" hidden="false"/>
    </xf>
    <xf numFmtId="164" fontId="23" fillId="0" borderId="0" xfId="0" applyFont="true" applyBorder="true" applyAlignment="true" applyProtection="false">
      <alignment horizontal="general" vertical="center" textRotation="0" wrapText="true" indent="0" shrinkToFit="false"/>
      <protection locked="true" hidden="false"/>
    </xf>
    <xf numFmtId="175" fontId="24" fillId="0" borderId="1" xfId="0" applyFont="true" applyBorder="true" applyAlignment="true" applyProtection="false">
      <alignment horizontal="general" vertical="bottom" textRotation="0" wrapText="false" indent="0" shrinkToFit="false"/>
      <protection locked="true" hidden="false"/>
    </xf>
    <xf numFmtId="175" fontId="8" fillId="0" borderId="1" xfId="0" applyFont="true" applyBorder="true" applyAlignment="true" applyProtection="false">
      <alignment horizontal="general" vertical="bottom" textRotation="0" wrapText="false" indent="0" shrinkToFit="false"/>
      <protection locked="true" hidden="false"/>
    </xf>
    <xf numFmtId="168" fontId="7" fillId="5" borderId="1" xfId="0" applyFont="true" applyBorder="true" applyAlignment="true" applyProtection="false">
      <alignment horizontal="general" vertical="bottom" textRotation="0" wrapText="false" indent="0" shrinkToFit="false"/>
      <protection locked="true" hidden="false"/>
    </xf>
    <xf numFmtId="175" fontId="7" fillId="5" borderId="1" xfId="0" applyFont="true" applyBorder="true" applyAlignment="true" applyProtection="false">
      <alignment horizontal="general" vertical="bottom" textRotation="0" wrapText="false" indent="0" shrinkToFit="false"/>
      <protection locked="true" hidden="false"/>
    </xf>
    <xf numFmtId="164" fontId="20" fillId="0" borderId="1" xfId="0" applyFont="true" applyBorder="true" applyAlignment="true" applyProtection="false">
      <alignment horizontal="general" vertical="bottom" textRotation="0" wrapText="false" indent="0" shrinkToFit="false"/>
      <protection locked="true" hidden="false"/>
    </xf>
    <xf numFmtId="166" fontId="7" fillId="5" borderId="1" xfId="0" applyFont="true" applyBorder="true" applyAlignment="true" applyProtection="false">
      <alignment horizontal="general" vertical="bottom" textRotation="0" wrapText="false" indent="0" shrinkToFit="false"/>
      <protection locked="true" hidden="false"/>
    </xf>
    <xf numFmtId="176" fontId="8" fillId="0" borderId="1" xfId="0" applyFont="true" applyBorder="true" applyAlignment="true" applyProtection="false">
      <alignment horizontal="general" vertical="bottom" textRotation="0" wrapText="false" indent="0" shrinkToFit="false"/>
      <protection locked="true" hidden="false"/>
    </xf>
    <xf numFmtId="170" fontId="24" fillId="0" borderId="1" xfId="0" applyFont="true" applyBorder="true" applyAlignment="true" applyProtection="false">
      <alignment horizontal="center" vertical="bottom" textRotation="0" wrapText="false" indent="0" shrinkToFit="false"/>
      <protection locked="true" hidden="false"/>
    </xf>
    <xf numFmtId="170" fontId="8" fillId="0" borderId="1" xfId="0" applyFont="true" applyBorder="true" applyAlignment="true" applyProtection="false">
      <alignment horizontal="center" vertical="bottom" textRotation="0" wrapText="false" indent="0" shrinkToFit="false"/>
      <protection locked="true" hidden="false"/>
    </xf>
    <xf numFmtId="168" fontId="22" fillId="8" borderId="1" xfId="0" applyFont="true" applyBorder="true" applyAlignment="true" applyProtection="false">
      <alignment horizontal="center" vertical="bottom" textRotation="0" wrapText="false" indent="0" shrinkToFit="false"/>
      <protection locked="true" hidden="false"/>
    </xf>
    <xf numFmtId="168" fontId="22" fillId="4" borderId="1" xfId="0" applyFont="true" applyBorder="true" applyAlignment="true" applyProtection="false">
      <alignment horizontal="center" vertical="bottom" textRotation="0" wrapText="false" indent="0" shrinkToFit="false"/>
      <protection locked="true" hidden="false"/>
    </xf>
    <xf numFmtId="172" fontId="8" fillId="4" borderId="1" xfId="0" applyFont="true" applyBorder="true" applyAlignment="true" applyProtection="false">
      <alignment horizontal="general" vertical="bottom" textRotation="0" wrapText="false" indent="0" shrinkToFit="false"/>
      <protection locked="true" hidden="false"/>
    </xf>
    <xf numFmtId="168" fontId="22" fillId="7" borderId="1" xfId="0" applyFont="true" applyBorder="true" applyAlignment="true" applyProtection="false">
      <alignment horizontal="center" vertical="bottom" textRotation="0" wrapText="false" indent="0" shrinkToFit="false"/>
      <protection locked="true" hidden="false"/>
    </xf>
    <xf numFmtId="168" fontId="22" fillId="6" borderId="1" xfId="0" applyFont="true" applyBorder="true" applyAlignment="true" applyProtection="false">
      <alignment horizontal="center" vertical="bottom" textRotation="0" wrapText="false" indent="0" shrinkToFit="false"/>
      <protection locked="true" hidden="false"/>
    </xf>
    <xf numFmtId="176" fontId="8" fillId="8" borderId="1" xfId="0" applyFont="true" applyBorder="true" applyAlignment="true" applyProtection="false">
      <alignment horizontal="general" vertical="bottom" textRotation="0" wrapText="false" indent="0" shrinkToFit="false"/>
      <protection locked="true" hidden="false"/>
    </xf>
    <xf numFmtId="164" fontId="23" fillId="0" borderId="1" xfId="0" applyFont="true" applyBorder="true" applyAlignment="true" applyProtection="false">
      <alignment horizontal="center" vertical="bottom" textRotation="0" wrapText="false" indent="0" shrinkToFit="false"/>
      <protection locked="true" hidden="false"/>
    </xf>
    <xf numFmtId="168" fontId="22" fillId="6" borderId="1" xfId="0" applyFont="true" applyBorder="true" applyAlignment="true" applyProtection="false">
      <alignment horizontal="general" vertical="bottom" textRotation="0" wrapText="false" indent="0" shrinkToFit="false"/>
      <protection locked="true" hidden="false"/>
    </xf>
    <xf numFmtId="166" fontId="8" fillId="6" borderId="1" xfId="0" applyFont="true" applyBorder="true" applyAlignment="true" applyProtection="false">
      <alignment horizontal="general" vertical="bottom" textRotation="0" wrapText="false" indent="0" shrinkToFit="false"/>
      <protection locked="true" hidden="false"/>
    </xf>
    <xf numFmtId="177" fontId="8" fillId="0" borderId="1" xfId="0" applyFont="true" applyBorder="true" applyAlignment="true" applyProtection="false">
      <alignment horizontal="general" vertical="bottom" textRotation="0" wrapText="false" indent="0" shrinkToFit="false"/>
      <protection locked="true" hidden="false"/>
    </xf>
    <xf numFmtId="168" fontId="22" fillId="7" borderId="1" xfId="0" applyFont="true" applyBorder="true" applyAlignment="true" applyProtection="false">
      <alignment horizontal="general" vertical="bottom" textRotation="0" wrapText="false" indent="0" shrinkToFit="false"/>
      <protection locked="true" hidden="false"/>
    </xf>
    <xf numFmtId="172" fontId="22" fillId="6" borderId="1" xfId="0" applyFont="true" applyBorder="true" applyAlignment="true" applyProtection="false">
      <alignment horizontal="general" vertical="bottom" textRotation="0" wrapText="false" indent="0" shrinkToFit="false"/>
      <protection locked="true" hidden="false"/>
    </xf>
    <xf numFmtId="172" fontId="22" fillId="8" borderId="1" xfId="0" applyFont="true" applyBorder="true" applyAlignment="true" applyProtection="false">
      <alignment horizontal="general" vertical="bottom" textRotation="0" wrapText="false" indent="0" shrinkToFit="false"/>
      <protection locked="true" hidden="false"/>
    </xf>
    <xf numFmtId="172" fontId="22" fillId="7" borderId="1" xfId="0" applyFont="true" applyBorder="true" applyAlignment="true" applyProtection="false">
      <alignment horizontal="general" vertical="bottom" textRotation="0" wrapText="false" indent="0" shrinkToFit="false"/>
      <protection locked="true" hidden="false"/>
    </xf>
    <xf numFmtId="167" fontId="24" fillId="7" borderId="1" xfId="0" applyFont="true" applyBorder="true" applyAlignment="true" applyProtection="false">
      <alignment horizontal="general" vertical="bottom" textRotation="0" wrapText="false" indent="0" shrinkToFit="false"/>
      <protection locked="true" hidden="false"/>
    </xf>
    <xf numFmtId="167" fontId="22" fillId="7" borderId="1" xfId="0" applyFont="true" applyBorder="true" applyAlignment="true" applyProtection="false">
      <alignment horizontal="general" vertical="bottom" textRotation="0" wrapText="false" indent="0" shrinkToFit="false"/>
      <protection locked="true" hidden="false"/>
    </xf>
    <xf numFmtId="168" fontId="24" fillId="7" borderId="1" xfId="0" applyFont="true" applyBorder="true" applyAlignment="true" applyProtection="false">
      <alignment horizontal="general" vertical="bottom" textRotation="0" wrapText="false" indent="0" shrinkToFit="false"/>
      <protection locked="true" hidden="false"/>
    </xf>
    <xf numFmtId="164" fontId="5" fillId="6" borderId="1" xfId="0" applyFont="true" applyBorder="true" applyAlignment="true" applyProtection="false">
      <alignment horizontal="general" vertical="center" textRotation="0" wrapText="true" indent="0" shrinkToFit="false"/>
      <protection locked="true" hidden="false"/>
    </xf>
    <xf numFmtId="164" fontId="5" fillId="8" borderId="1" xfId="0" applyFont="true" applyBorder="true" applyAlignment="true" applyProtection="false">
      <alignment horizontal="general" vertical="center" textRotation="0" wrapText="true" indent="0" shrinkToFit="false"/>
      <protection locked="true" hidden="false"/>
    </xf>
    <xf numFmtId="164" fontId="21" fillId="2" borderId="0" xfId="0" applyFont="true" applyBorder="false" applyAlignment="true" applyProtection="false">
      <alignment horizontal="general" vertical="bottom" textRotation="0" wrapText="false" indent="0" shrinkToFit="false"/>
      <protection locked="true" hidden="false"/>
    </xf>
    <xf numFmtId="164" fontId="0" fillId="2" borderId="0" xfId="0" applyFont="false" applyBorder="false" applyAlignment="true" applyProtection="false">
      <alignment horizontal="general" vertical="bottom" textRotation="0" wrapText="false" indent="0" shrinkToFit="false"/>
      <protection locked="true" hidden="false"/>
    </xf>
    <xf numFmtId="170" fontId="22" fillId="4" borderId="0" xfId="0" applyFont="true" applyBorder="false" applyAlignment="true" applyProtection="false">
      <alignment horizontal="general" vertical="bottom" textRotation="0" wrapText="false" indent="0" shrinkToFit="false"/>
      <protection locked="true" hidden="false"/>
    </xf>
    <xf numFmtId="178" fontId="19" fillId="0" borderId="0" xfId="0" applyFont="true" applyBorder="false" applyAlignment="true" applyProtection="false">
      <alignment horizontal="general" vertical="bottom" textRotation="0" wrapText="false" indent="0" shrinkToFit="false"/>
      <protection locked="true" hidden="false"/>
    </xf>
    <xf numFmtId="178" fontId="22" fillId="0" borderId="0" xfId="0" applyFont="true" applyBorder="false" applyAlignment="true" applyProtection="false">
      <alignment horizontal="general" vertical="bottom" textRotation="0" wrapText="false" indent="0" shrinkToFit="false"/>
      <protection locked="true" hidden="false"/>
    </xf>
    <xf numFmtId="168" fontId="22" fillId="0" borderId="0" xfId="0" applyFont="true" applyBorder="false" applyAlignment="tru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general" vertical="bottom" textRotation="0" wrapText="false" indent="0" shrinkToFit="false"/>
      <protection locked="true" hidden="false"/>
    </xf>
    <xf numFmtId="179" fontId="24" fillId="0" borderId="0" xfId="0" applyFont="true" applyBorder="false" applyAlignment="true" applyProtection="false">
      <alignment horizontal="general" vertical="bottom" textRotation="0" wrapText="false" indent="0" shrinkToFit="false"/>
      <protection locked="true" hidden="false"/>
    </xf>
    <xf numFmtId="170" fontId="22" fillId="0" borderId="0" xfId="0" applyFont="true" applyBorder="false" applyAlignment="true" applyProtection="false">
      <alignment horizontal="general" vertical="bottom" textRotation="0" wrapText="false" indent="0" shrinkToFit="false"/>
      <protection locked="true" hidden="false"/>
    </xf>
    <xf numFmtId="173" fontId="22" fillId="4" borderId="0" xfId="0" applyFont="true" applyBorder="false" applyAlignment="true" applyProtection="false">
      <alignment horizontal="general" vertical="bottom" textRotation="0" wrapText="false" indent="0" shrinkToFit="false"/>
      <protection locked="true" hidden="false"/>
    </xf>
    <xf numFmtId="173" fontId="17" fillId="0" borderId="0" xfId="0" applyFont="true" applyBorder="false" applyAlignment="true" applyProtection="false">
      <alignment horizontal="general" vertical="bottom" textRotation="0" wrapText="false" indent="0" shrinkToFit="false"/>
      <protection locked="true" hidden="false"/>
    </xf>
    <xf numFmtId="168" fontId="17" fillId="4" borderId="0" xfId="0" applyFont="true" applyBorder="false" applyAlignment="true" applyProtection="false">
      <alignment horizontal="general" vertical="bottom" textRotation="0" wrapText="false" indent="0" shrinkToFit="false"/>
      <protection locked="true" hidden="false"/>
    </xf>
    <xf numFmtId="168" fontId="19" fillId="4" borderId="0" xfId="0" applyFont="true" applyBorder="false" applyAlignment="true" applyProtection="false">
      <alignment horizontal="general" vertical="bottom" textRotation="0" wrapText="false" indent="0" shrinkToFit="false"/>
      <protection locked="true" hidden="false"/>
    </xf>
    <xf numFmtId="164" fontId="16" fillId="5" borderId="0" xfId="0" applyFont="true" applyBorder="false" applyAlignment="true" applyProtection="false">
      <alignment horizontal="left" vertical="bottom" textRotation="0" wrapText="false" indent="0" shrinkToFit="false"/>
      <protection locked="true" hidden="false"/>
    </xf>
    <xf numFmtId="168" fontId="19" fillId="5" borderId="0" xfId="0" applyFont="true" applyBorder="false" applyAlignment="true" applyProtection="false">
      <alignment horizontal="center" vertical="bottom" textRotation="0" wrapText="false" indent="0" shrinkToFit="false"/>
      <protection locked="true" hidden="false"/>
    </xf>
    <xf numFmtId="164" fontId="15" fillId="3" borderId="0" xfId="0" applyFont="true" applyBorder="false" applyAlignment="true" applyProtection="false">
      <alignment horizontal="general" vertical="bottom" textRotation="0" wrapText="false" indent="0" shrinkToFit="false"/>
      <protection locked="true" hidden="false"/>
    </xf>
    <xf numFmtId="168" fontId="17" fillId="3" borderId="0" xfId="0" applyFont="true" applyBorder="false" applyAlignment="true" applyProtection="false">
      <alignment horizontal="general" vertical="bottom" textRotation="0" wrapText="false" indent="0" shrinkToFit="false"/>
      <protection locked="true" hidden="false"/>
    </xf>
    <xf numFmtId="168" fontId="24" fillId="3" borderId="0" xfId="0" applyFont="true" applyBorder="false" applyAlignment="true" applyProtection="false">
      <alignment horizontal="general" vertical="bottom" textRotation="0" wrapText="false" indent="0" shrinkToFit="false"/>
      <protection locked="true" hidden="false"/>
    </xf>
    <xf numFmtId="164" fontId="20" fillId="3" borderId="0" xfId="0" applyFont="true" applyBorder="false" applyAlignment="true" applyProtection="false">
      <alignment horizontal="general" vertical="bottom" textRotation="0" wrapText="false" indent="0" shrinkToFit="false"/>
      <protection locked="true" hidden="false"/>
    </xf>
    <xf numFmtId="164" fontId="19" fillId="5" borderId="0" xfId="0" applyFont="true" applyBorder="false" applyAlignment="true" applyProtection="false">
      <alignment horizontal="left" vertical="bottom" textRotation="0" wrapText="false" indent="0" shrinkToFit="false"/>
      <protection locked="true" hidden="false"/>
    </xf>
    <xf numFmtId="168" fontId="22" fillId="5" borderId="0" xfId="0" applyFont="true" applyBorder="false" applyAlignment="true" applyProtection="false">
      <alignment horizontal="center" vertical="bottom" textRotation="0" wrapText="false" indent="0" shrinkToFit="false"/>
      <protection locked="true" hidden="false"/>
    </xf>
    <xf numFmtId="164" fontId="18" fillId="5" borderId="0" xfId="0" applyFont="true" applyBorder="false" applyAlignment="true" applyProtection="false">
      <alignment horizontal="center" vertical="bottom" textRotation="0" wrapText="false" indent="0" shrinkToFit="false"/>
      <protection locked="true" hidden="false"/>
    </xf>
    <xf numFmtId="167" fontId="16" fillId="4" borderId="0" xfId="0" applyFont="true" applyBorder="false" applyAlignment="true" applyProtection="false">
      <alignment horizontal="general" vertical="bottom" textRotation="0" wrapText="false" indent="0" shrinkToFit="false"/>
      <protection locked="true" hidden="false"/>
    </xf>
    <xf numFmtId="167" fontId="14" fillId="3" borderId="0" xfId="0" applyFont="true" applyBorder="false" applyAlignment="true" applyProtection="false">
      <alignment horizontal="general" vertical="bottom" textRotation="0" wrapText="false" indent="0" shrinkToFit="false"/>
      <protection locked="true" hidden="false"/>
    </xf>
    <xf numFmtId="168" fontId="19" fillId="3" borderId="0" xfId="0" applyFont="true" applyBorder="false" applyAlignment="true" applyProtection="false">
      <alignment horizontal="general" vertical="bottom" textRotation="0" wrapText="false" indent="0" shrinkToFit="false"/>
      <protection locked="true" hidden="false"/>
    </xf>
    <xf numFmtId="167" fontId="15" fillId="5" borderId="0" xfId="0" applyFont="true" applyBorder="false" applyAlignment="true" applyProtection="false">
      <alignment horizontal="general" vertical="bottom" textRotation="0" wrapText="false" indent="0" shrinkToFit="false"/>
      <protection locked="true" hidden="false"/>
    </xf>
    <xf numFmtId="168" fontId="0" fillId="0" borderId="0" xfId="0" applyFont="false" applyBorder="false" applyAlignment="true" applyProtection="false">
      <alignment horizontal="general" vertical="bottom" textRotation="0" wrapText="false" indent="0" shrinkToFit="false"/>
      <protection locked="true" hidden="false"/>
    </xf>
    <xf numFmtId="176" fontId="24" fillId="0" borderId="0" xfId="0" applyFont="true" applyBorder="false" applyAlignment="true" applyProtection="false">
      <alignment horizontal="general" vertical="bottom" textRotation="0" wrapText="false" indent="0" shrinkToFit="false"/>
      <protection locked="true" hidden="false"/>
    </xf>
    <xf numFmtId="180" fontId="17" fillId="0" borderId="0" xfId="0" applyFont="true" applyBorder="false" applyAlignment="true" applyProtection="false">
      <alignment horizontal="general" vertical="bottom" textRotation="0" wrapText="false" indent="0" shrinkToFit="false"/>
      <protection locked="true" hidden="false"/>
    </xf>
    <xf numFmtId="180" fontId="19" fillId="0" borderId="0" xfId="0" applyFont="true" applyBorder="false" applyAlignment="true" applyProtection="false">
      <alignment horizontal="general" vertical="bottom" textRotation="0" wrapText="false" indent="0" shrinkToFit="false"/>
      <protection locked="true" hidden="false"/>
    </xf>
    <xf numFmtId="167" fontId="17" fillId="0" borderId="0" xfId="0" applyFont="true" applyBorder="false" applyAlignment="true" applyProtection="false">
      <alignment horizontal="general" vertical="bottom" textRotation="0" wrapText="false" indent="0" shrinkToFit="false"/>
      <protection locked="true" hidden="false"/>
    </xf>
    <xf numFmtId="180" fontId="24" fillId="0" borderId="0" xfId="0" applyFont="true" applyBorder="false" applyAlignment="true" applyProtection="false">
      <alignment horizontal="general" vertical="bottom" textRotation="0" wrapText="false" indent="0" shrinkToFit="false"/>
      <protection locked="true" hidden="false"/>
    </xf>
    <xf numFmtId="167" fontId="22" fillId="0" borderId="0" xfId="0" applyFont="true" applyBorder="false" applyAlignment="true" applyProtection="false">
      <alignment horizontal="general" vertical="bottom" textRotation="0" wrapText="false" indent="0" shrinkToFit="false"/>
      <protection locked="true" hidden="false"/>
    </xf>
    <xf numFmtId="164" fontId="15" fillId="5" borderId="0" xfId="0" applyFont="true" applyBorder="false" applyAlignment="true" applyProtection="false">
      <alignment horizontal="general" vertical="bottom" textRotation="0" wrapText="false" indent="0" shrinkToFit="false"/>
      <protection locked="true" hidden="false"/>
    </xf>
    <xf numFmtId="167" fontId="0" fillId="0" borderId="0" xfId="0" applyFont="false" applyBorder="false" applyAlignment="true" applyProtection="false">
      <alignment horizontal="general" vertical="bottom" textRotation="0" wrapText="false" indent="0" shrinkToFit="false"/>
      <protection locked="true" hidden="false"/>
    </xf>
    <xf numFmtId="164" fontId="15" fillId="0" borderId="0" xfId="0" applyFont="true" applyBorder="false" applyAlignment="true" applyProtection="false">
      <alignment horizontal="center" vertical="bottom" textRotation="0" wrapText="false" indent="0" shrinkToFit="false"/>
      <protection locked="true" hidden="false"/>
    </xf>
    <xf numFmtId="181" fontId="24" fillId="0" borderId="0" xfId="0" applyFont="true" applyBorder="false" applyAlignment="true" applyProtection="false">
      <alignment horizontal="general" vertical="bottom" textRotation="0" wrapText="false" indent="0" shrinkToFit="false"/>
      <protection locked="true" hidden="false"/>
    </xf>
    <xf numFmtId="181" fontId="22" fillId="4" borderId="0" xfId="0" applyFont="true" applyBorder="false" applyAlignment="true" applyProtection="false">
      <alignment horizontal="general" vertical="bottom" textRotation="0" wrapText="false" indent="0" shrinkToFit="false"/>
      <protection locked="true" hidden="false"/>
    </xf>
    <xf numFmtId="181" fontId="17" fillId="0" borderId="0" xfId="0" applyFont="true" applyBorder="false" applyAlignment="true" applyProtection="false">
      <alignment horizontal="general" vertical="bottom" textRotation="0" wrapText="false" indent="0" shrinkToFit="false"/>
      <protection locked="true" hidden="false"/>
    </xf>
    <xf numFmtId="178" fontId="22" fillId="4" borderId="0" xfId="0" applyFont="true" applyBorder="false" applyAlignment="true" applyProtection="false">
      <alignment horizontal="general" vertical="bottom" textRotation="0" wrapText="false" indent="0" shrinkToFit="false"/>
      <protection locked="true" hidden="false"/>
    </xf>
    <xf numFmtId="180" fontId="0" fillId="0" borderId="0" xfId="0" applyFont="false" applyBorder="false" applyAlignment="true" applyProtection="false">
      <alignment horizontal="general" vertical="bottom" textRotation="0" wrapText="false" indent="0" shrinkToFit="false"/>
      <protection locked="true" hidden="false"/>
    </xf>
    <xf numFmtId="173" fontId="22" fillId="0" borderId="0" xfId="0" applyFont="true" applyBorder="false" applyAlignment="true" applyProtection="false">
      <alignment horizontal="general" vertical="bottom" textRotation="0" wrapText="false" indent="0" shrinkToFit="false"/>
      <protection locked="true" hidden="false"/>
    </xf>
    <xf numFmtId="179" fontId="19" fillId="0" borderId="0" xfId="0" applyFont="true" applyBorder="false" applyAlignment="true" applyProtection="false">
      <alignment horizontal="general" vertical="bottom" textRotation="0" wrapText="false" indent="0" shrinkToFit="false"/>
      <protection locked="true" hidden="false"/>
    </xf>
    <xf numFmtId="179" fontId="22" fillId="0" borderId="0" xfId="0" applyFont="true" applyBorder="false" applyAlignment="true" applyProtection="false">
      <alignment horizontal="general" vertical="bottom" textRotation="0" wrapText="false" indent="0" shrinkToFit="false"/>
      <protection locked="true" hidden="false"/>
    </xf>
    <xf numFmtId="164" fontId="17" fillId="9" borderId="0" xfId="0" applyFont="true" applyBorder="false" applyAlignment="true" applyProtection="false">
      <alignment horizontal="center" vertical="bottom" textRotation="0" wrapText="false" indent="0" shrinkToFit="false"/>
      <protection locked="true" hidden="false"/>
    </xf>
    <xf numFmtId="164" fontId="17" fillId="10" borderId="0" xfId="0" applyFont="true" applyBorder="false" applyAlignment="true" applyProtection="false">
      <alignment horizontal="center" vertical="bottom" textRotation="0" wrapText="false" indent="0" shrinkToFit="false"/>
      <protection locked="true" hidden="false"/>
    </xf>
    <xf numFmtId="164" fontId="17" fillId="11" borderId="0" xfId="0" applyFont="true" applyBorder="false" applyAlignment="true" applyProtection="false">
      <alignment horizontal="center" vertical="bottom" textRotation="0" wrapText="false" indent="0" shrinkToFit="false"/>
      <protection locked="true" hidden="false"/>
    </xf>
    <xf numFmtId="182" fontId="24" fillId="0" borderId="0" xfId="0" applyFont="true" applyBorder="false" applyAlignment="true" applyProtection="false">
      <alignment horizontal="center" vertical="bottom" textRotation="0" wrapText="false" indent="0" shrinkToFit="false"/>
      <protection locked="true" hidden="false"/>
    </xf>
    <xf numFmtId="164" fontId="17" fillId="0" borderId="0" xfId="0" applyFont="true" applyBorder="false" applyAlignment="true" applyProtection="false">
      <alignment horizontal="center"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E2EFDA"/>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FCE4E4"/>
      <rgbColor rgb="FFC6EFCE"/>
      <rgbColor rgb="FFFFEB9C"/>
      <rgbColor rgb="FF99CCFF"/>
      <rgbColor rgb="FFFF99CC"/>
      <rgbColor rgb="FFCC99FF"/>
      <rgbColor rgb="FFFFC7CE"/>
      <rgbColor rgb="FF3366FF"/>
      <rgbColor rgb="FF33CCCC"/>
      <rgbColor rgb="FF99CC00"/>
      <rgbColor rgb="FFFFCC00"/>
      <rgbColor rgb="FFFF9900"/>
      <rgbColor rgb="FFFF6600"/>
      <rgbColor rgb="FF666666"/>
      <rgbColor rgb="FF969696"/>
      <rgbColor rgb="FF1F3864"/>
      <rgbColor rgb="FF339966"/>
      <rgbColor rgb="FF003300"/>
      <rgbColor rgb="FF333300"/>
      <rgbColor rgb="FF993300"/>
      <rgbColor rgb="FF993366"/>
      <rgbColor rgb="FF2E5C8A"/>
      <rgbColor rgb="FF595959"/>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worksheet" Target="worksheets/sheet23.xml"/><Relationship Id="rId26" Type="http://schemas.openxmlformats.org/officeDocument/2006/relationships/worksheet" Target="worksheets/sheet24.xml"/><Relationship Id="rId2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Malgun Gothic" pitchFamily="0" charset="1"/>
        <a:ea typeface="Malgun Gothic" pitchFamily="0" charset="1"/>
        <a:cs typeface="Malgun Gothic" pitchFamily="0" charset="1"/>
      </a:majorFont>
      <a:minorFont>
        <a:latin typeface="Malgun Gothic" pitchFamily="0" charset="1"/>
        <a:ea typeface="Malgun Gothic" pitchFamily="0" charset="1"/>
        <a:cs typeface="Malgun Gothic"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00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12.62890625" defaultRowHeight="15" customHeight="true" zeroHeight="false" outlineLevelRow="0" outlineLevelCol="0"/>
  <cols>
    <col collapsed="false" customWidth="true" hidden="false" outlineLevel="0" max="1" min="1" style="1" width="22"/>
    <col collapsed="false" customWidth="true" hidden="false" outlineLevel="0" max="6" min="2" style="1" width="20"/>
    <col collapsed="false" customWidth="true" hidden="false" outlineLevel="0" max="26" min="7" style="1" width="8.63"/>
  </cols>
  <sheetData>
    <row r="1" customFormat="false" ht="24" hidden="false" customHeight="true" outlineLevel="0" collapsed="false">
      <c r="A1" s="2" t="s">
        <v>0</v>
      </c>
      <c r="B1" s="2"/>
      <c r="C1" s="2"/>
      <c r="D1" s="2"/>
      <c r="E1" s="2"/>
      <c r="F1" s="2"/>
    </row>
    <row r="3" customFormat="false" ht="15" hidden="false" customHeight="true" outlineLevel="0" collapsed="false">
      <c r="A3" s="3" t="s">
        <v>1</v>
      </c>
    </row>
    <row r="4" customFormat="false" ht="15" hidden="false" customHeight="true" outlineLevel="0" collapsed="false">
      <c r="A4" s="4" t="s">
        <v>2</v>
      </c>
      <c r="B4" s="4"/>
      <c r="C4" s="4"/>
      <c r="D4" s="4"/>
      <c r="E4" s="4"/>
      <c r="F4" s="4"/>
    </row>
    <row r="5" customFormat="false" ht="15" hidden="false" customHeight="true" outlineLevel="0" collapsed="false">
      <c r="A5" s="4" t="s">
        <v>3</v>
      </c>
      <c r="B5" s="4"/>
      <c r="C5" s="4"/>
      <c r="D5" s="4"/>
      <c r="E5" s="4"/>
      <c r="F5" s="4"/>
    </row>
    <row r="7" customFormat="false" ht="15" hidden="false" customHeight="true" outlineLevel="0" collapsed="false">
      <c r="A7" s="5" t="s">
        <v>4</v>
      </c>
      <c r="B7" s="6" t="s">
        <v>5</v>
      </c>
    </row>
    <row r="8" customFormat="false" ht="15" hidden="false" customHeight="true" outlineLevel="0" collapsed="false">
      <c r="A8" s="3" t="s">
        <v>6</v>
      </c>
      <c r="B8" s="6" t="s">
        <v>7</v>
      </c>
    </row>
    <row r="9" customFormat="false" ht="15" hidden="false" customHeight="true" outlineLevel="0" collapsed="false">
      <c r="A9" s="3" t="s">
        <v>8</v>
      </c>
      <c r="B9" s="6" t="s">
        <v>9</v>
      </c>
    </row>
    <row r="11" customFormat="false" ht="15" hidden="false" customHeight="true" outlineLevel="0" collapsed="false">
      <c r="A11" s="3" t="s">
        <v>10</v>
      </c>
    </row>
    <row r="12" customFormat="false" ht="15" hidden="false" customHeight="true" outlineLevel="0" collapsed="false">
      <c r="A12" s="7" t="s">
        <v>11</v>
      </c>
      <c r="B12" s="7"/>
      <c r="C12" s="7"/>
      <c r="D12" s="7"/>
      <c r="E12" s="7"/>
      <c r="F12" s="7"/>
    </row>
    <row r="13" customFormat="false" ht="15" hidden="false" customHeight="true" outlineLevel="0" collapsed="false">
      <c r="A13" s="7" t="s">
        <v>12</v>
      </c>
      <c r="B13" s="7"/>
      <c r="C13" s="7"/>
      <c r="D13" s="7"/>
      <c r="E13" s="7"/>
      <c r="F13" s="7"/>
    </row>
    <row r="14" customFormat="false" ht="15" hidden="false" customHeight="true" outlineLevel="0" collapsed="false">
      <c r="A14" s="4" t="s">
        <v>13</v>
      </c>
      <c r="B14" s="4"/>
      <c r="C14" s="4"/>
      <c r="D14" s="4"/>
      <c r="E14" s="4"/>
      <c r="F14" s="4"/>
    </row>
    <row r="16" customFormat="false" ht="15" hidden="false" customHeight="true" outlineLevel="0" collapsed="false">
      <c r="A16" s="8" t="s">
        <v>14</v>
      </c>
      <c r="B16" s="8"/>
      <c r="C16" s="8"/>
      <c r="D16" s="8"/>
      <c r="E16" s="8"/>
      <c r="F16" s="8"/>
    </row>
    <row r="17" customFormat="false" ht="15" hidden="false" customHeight="true" outlineLevel="0" collapsed="false">
      <c r="A17" s="9" t="s">
        <v>15</v>
      </c>
      <c r="B17" s="4" t="s">
        <v>16</v>
      </c>
      <c r="C17" s="4"/>
      <c r="D17" s="4"/>
      <c r="E17" s="4"/>
      <c r="F17" s="4"/>
    </row>
    <row r="18" customFormat="false" ht="15" hidden="false" customHeight="true" outlineLevel="0" collapsed="false">
      <c r="A18" s="10" t="s">
        <v>17</v>
      </c>
      <c r="B18" s="4" t="s">
        <v>18</v>
      </c>
      <c r="C18" s="4"/>
      <c r="D18" s="4"/>
      <c r="E18" s="4"/>
      <c r="F18" s="4"/>
    </row>
    <row r="19" customFormat="false" ht="15" hidden="false" customHeight="true" outlineLevel="0" collapsed="false">
      <c r="A19" s="11" t="s">
        <v>19</v>
      </c>
      <c r="B19" s="4" t="s">
        <v>20</v>
      </c>
      <c r="C19" s="4"/>
      <c r="D19" s="4"/>
      <c r="E19" s="4"/>
      <c r="F19" s="4"/>
    </row>
    <row r="20" customFormat="false" ht="15" hidden="false" customHeight="true" outlineLevel="0" collapsed="false">
      <c r="A20" s="12" t="s">
        <v>21</v>
      </c>
      <c r="B20" s="4" t="s">
        <v>22</v>
      </c>
      <c r="C20" s="4"/>
      <c r="D20" s="4"/>
      <c r="E20" s="4"/>
      <c r="F20" s="4"/>
    </row>
    <row r="23" customFormat="false" ht="15" hidden="false" customHeight="true" outlineLevel="0" collapsed="false">
      <c r="A23" s="8" t="s">
        <v>23</v>
      </c>
      <c r="B23" s="8"/>
      <c r="C23" s="8"/>
      <c r="D23" s="8"/>
      <c r="E23" s="8"/>
      <c r="F23" s="8"/>
    </row>
    <row r="24" customFormat="false" ht="15" hidden="false" customHeight="true" outlineLevel="0" collapsed="false">
      <c r="A24" s="3" t="s">
        <v>24</v>
      </c>
      <c r="B24" s="4" t="s">
        <v>25</v>
      </c>
      <c r="C24" s="4"/>
      <c r="D24" s="4"/>
      <c r="E24" s="4"/>
      <c r="F24" s="4"/>
    </row>
    <row r="25" customFormat="false" ht="15" hidden="false" customHeight="true" outlineLevel="0" collapsed="false">
      <c r="A25" s="3" t="s">
        <v>26</v>
      </c>
      <c r="B25" s="7" t="s">
        <v>27</v>
      </c>
      <c r="C25" s="7"/>
      <c r="D25" s="7"/>
      <c r="E25" s="7"/>
      <c r="F25" s="7"/>
    </row>
    <row r="26" customFormat="false" ht="15" hidden="false" customHeight="true" outlineLevel="0" collapsed="false">
      <c r="A26" s="3" t="s">
        <v>28</v>
      </c>
      <c r="B26" s="7" t="s">
        <v>29</v>
      </c>
      <c r="C26" s="7"/>
      <c r="D26" s="7"/>
      <c r="E26" s="7"/>
      <c r="F26" s="7"/>
    </row>
    <row r="27" customFormat="false" ht="15" hidden="false" customHeight="true" outlineLevel="0" collapsed="false">
      <c r="A27" s="5" t="s">
        <v>30</v>
      </c>
      <c r="B27" s="4" t="s">
        <v>31</v>
      </c>
      <c r="C27" s="4"/>
      <c r="D27" s="4"/>
      <c r="E27" s="4"/>
      <c r="F27" s="4"/>
    </row>
    <row r="28" customFormat="false" ht="15" hidden="false" customHeight="true" outlineLevel="0" collapsed="false">
      <c r="A28" s="3" t="s">
        <v>32</v>
      </c>
      <c r="B28" s="4" t="s">
        <v>33</v>
      </c>
      <c r="C28" s="4"/>
      <c r="D28" s="4"/>
      <c r="E28" s="4"/>
      <c r="F28" s="4"/>
    </row>
    <row r="29" customFormat="false" ht="15" hidden="false" customHeight="true" outlineLevel="0" collapsed="false">
      <c r="A29" s="3" t="s">
        <v>34</v>
      </c>
      <c r="B29" s="4" t="s">
        <v>35</v>
      </c>
      <c r="C29" s="4"/>
      <c r="D29" s="4"/>
      <c r="E29" s="4"/>
      <c r="F29" s="4"/>
    </row>
    <row r="30" customFormat="false" ht="15" hidden="false" customHeight="true" outlineLevel="0" collapsed="false">
      <c r="A30" s="3" t="s">
        <v>36</v>
      </c>
      <c r="B30" s="4" t="s">
        <v>37</v>
      </c>
      <c r="C30" s="4"/>
      <c r="D30" s="4"/>
      <c r="E30" s="4"/>
      <c r="F30" s="4"/>
    </row>
    <row r="31" customFormat="false" ht="15" hidden="false" customHeight="true" outlineLevel="0" collapsed="false">
      <c r="A31" s="3" t="s">
        <v>38</v>
      </c>
      <c r="B31" s="4" t="s">
        <v>39</v>
      </c>
      <c r="C31" s="4"/>
      <c r="D31" s="4"/>
      <c r="E31" s="4"/>
      <c r="F31" s="4"/>
    </row>
    <row r="32" customFormat="false" ht="13.5" hidden="false" customHeight="true" outlineLevel="0" collapsed="false">
      <c r="A32" s="13" t="s">
        <v>40</v>
      </c>
      <c r="B32" s="13"/>
      <c r="C32" s="13"/>
      <c r="D32" s="13"/>
      <c r="E32" s="13"/>
      <c r="F32" s="13"/>
    </row>
    <row r="33" customFormat="false" ht="13.5" hidden="false" customHeight="true" outlineLevel="0" collapsed="false">
      <c r="A33" s="13" t="s">
        <v>41</v>
      </c>
      <c r="B33" s="13"/>
      <c r="C33" s="13"/>
      <c r="D33" s="13"/>
      <c r="E33" s="13"/>
      <c r="F33" s="13"/>
    </row>
    <row r="34" customFormat="false" ht="15.75" hidden="false" customHeight="true" outlineLevel="0" collapsed="false"/>
    <row r="35" customFormat="false" ht="16.5" hidden="false" customHeight="true" outlineLevel="0" collapsed="false">
      <c r="A35" s="14" t="s">
        <v>42</v>
      </c>
      <c r="B35" s="14"/>
      <c r="C35" s="14"/>
      <c r="D35" s="14"/>
      <c r="E35" s="14"/>
      <c r="F35" s="14"/>
    </row>
    <row r="36" customFormat="false" ht="13.5" hidden="false" customHeight="true" outlineLevel="0" collapsed="false">
      <c r="A36" s="13" t="s">
        <v>43</v>
      </c>
      <c r="B36" s="13"/>
      <c r="C36" s="13"/>
      <c r="D36" s="13"/>
      <c r="E36" s="13"/>
      <c r="F36" s="13"/>
    </row>
    <row r="37" customFormat="false" ht="15.75" hidden="false" customHeight="true" outlineLevel="0" collapsed="false"/>
    <row r="38" customFormat="false" ht="15.75" hidden="false" customHeight="true" outlineLevel="0" collapsed="false"/>
    <row r="39" customFormat="false" ht="15.75" hidden="false" customHeight="true" outlineLevel="0" collapsed="false">
      <c r="A39" s="15" t="s">
        <v>44</v>
      </c>
      <c r="B39" s="16"/>
      <c r="C39" s="16"/>
      <c r="D39" s="16"/>
      <c r="E39" s="16"/>
      <c r="F39" s="16"/>
    </row>
    <row r="40" customFormat="false" ht="15.75" hidden="false" customHeight="true" outlineLevel="0" collapsed="false">
      <c r="A40" s="17" t="s">
        <v>45</v>
      </c>
      <c r="B40" s="18" t="s">
        <v>46</v>
      </c>
    </row>
    <row r="41" customFormat="false" ht="15.75" hidden="false" customHeight="true" outlineLevel="0" collapsed="false">
      <c r="A41" s="17" t="s">
        <v>47</v>
      </c>
      <c r="B41" s="18" t="s">
        <v>48</v>
      </c>
    </row>
    <row r="42" customFormat="false" ht="15.75" hidden="false" customHeight="true" outlineLevel="0" collapsed="false">
      <c r="A42" s="19" t="s">
        <v>49</v>
      </c>
      <c r="B42" s="18" t="s">
        <v>50</v>
      </c>
    </row>
    <row r="43" customFormat="false" ht="15.75" hidden="false" customHeight="true" outlineLevel="0" collapsed="false">
      <c r="A43" s="17" t="s">
        <v>51</v>
      </c>
      <c r="B43" s="18" t="s">
        <v>52</v>
      </c>
    </row>
    <row r="44" customFormat="false" ht="15.75" hidden="false" customHeight="true" outlineLevel="0" collapsed="false"/>
    <row r="45" customFormat="false" ht="15.75" hidden="false" customHeight="true" outlineLevel="0" collapsed="false">
      <c r="A45" s="20" t="s">
        <v>53</v>
      </c>
    </row>
    <row r="46" customFormat="false" ht="15.75" hidden="false" customHeight="true" outlineLevel="0" collapsed="false">
      <c r="A46" s="20" t="s">
        <v>54</v>
      </c>
    </row>
    <row r="47" customFormat="false" ht="15.75" hidden="false" customHeight="true" outlineLevel="0" collapsed="false"/>
    <row r="48" customFormat="false" ht="15.75" hidden="false" customHeight="true" outlineLevel="0" collapsed="false">
      <c r="A48" s="15" t="s">
        <v>55</v>
      </c>
      <c r="B48" s="16"/>
      <c r="C48" s="16"/>
      <c r="D48" s="16"/>
      <c r="E48" s="16"/>
      <c r="F48" s="16"/>
    </row>
    <row r="49" customFormat="false" ht="15.75" hidden="false" customHeight="true" outlineLevel="0" collapsed="false">
      <c r="A49" s="17" t="s">
        <v>56</v>
      </c>
      <c r="B49" s="21" t="s">
        <v>57</v>
      </c>
    </row>
    <row r="50" customFormat="false" ht="15.75" hidden="false" customHeight="true" outlineLevel="0" collapsed="false">
      <c r="A50" s="17" t="s">
        <v>58</v>
      </c>
      <c r="B50" s="18" t="s">
        <v>59</v>
      </c>
    </row>
    <row r="51" customFormat="false" ht="15.75" hidden="false" customHeight="true" outlineLevel="0" collapsed="false">
      <c r="A51" s="19" t="s">
        <v>60</v>
      </c>
      <c r="B51" s="21" t="s">
        <v>61</v>
      </c>
    </row>
    <row r="52" customFormat="false" ht="15.75" hidden="false" customHeight="true" outlineLevel="0" collapsed="false"/>
    <row r="53" customFormat="false" ht="15.75" hidden="false" customHeight="true" outlineLevel="0" collapsed="false">
      <c r="A53" s="22" t="s">
        <v>62</v>
      </c>
    </row>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mergeCells count="24">
    <mergeCell ref="A1:F1"/>
    <mergeCell ref="A4:F4"/>
    <mergeCell ref="A5:F5"/>
    <mergeCell ref="A12:F12"/>
    <mergeCell ref="A13:F13"/>
    <mergeCell ref="A14:F14"/>
    <mergeCell ref="A16:F16"/>
    <mergeCell ref="B17:F17"/>
    <mergeCell ref="B18:F18"/>
    <mergeCell ref="B19:F19"/>
    <mergeCell ref="B20:F20"/>
    <mergeCell ref="A23:F23"/>
    <mergeCell ref="B24:F24"/>
    <mergeCell ref="B25:F25"/>
    <mergeCell ref="B26:F26"/>
    <mergeCell ref="B27:F27"/>
    <mergeCell ref="B28:F28"/>
    <mergeCell ref="B29:F29"/>
    <mergeCell ref="B30:F30"/>
    <mergeCell ref="B31:F31"/>
    <mergeCell ref="A32:F32"/>
    <mergeCell ref="A33:F33"/>
    <mergeCell ref="A35:F35"/>
    <mergeCell ref="A36:F3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B4" activeCellId="0" sqref="B4"/>
    </sheetView>
  </sheetViews>
  <sheetFormatPr defaultColWidth="12.62890625" defaultRowHeight="15" customHeight="true" zeroHeight="false" outlineLevelRow="0" outlineLevelCol="0"/>
  <cols>
    <col collapsed="false" customWidth="true" hidden="false" outlineLevel="0" max="1" min="1" style="1" width="16"/>
    <col collapsed="false" customWidth="true" hidden="false" outlineLevel="0" max="2" min="2" style="1" width="22"/>
    <col collapsed="false" customWidth="true" hidden="false" outlineLevel="0" max="7" min="3" style="1" width="26"/>
    <col collapsed="false" customWidth="true" hidden="false" outlineLevel="0" max="26" min="8" style="1" width="8.5"/>
  </cols>
  <sheetData>
    <row r="1" customFormat="false" ht="24" hidden="false" customHeight="true" outlineLevel="0" collapsed="false">
      <c r="A1" s="23" t="s">
        <v>63</v>
      </c>
      <c r="B1" s="23"/>
      <c r="C1" s="23"/>
      <c r="D1" s="23"/>
      <c r="E1" s="23"/>
      <c r="F1" s="23"/>
      <c r="G1" s="23"/>
    </row>
    <row r="2" customFormat="false" ht="13.5" hidden="false" customHeight="true" outlineLevel="0" collapsed="false">
      <c r="A2" s="13" t="s">
        <v>64</v>
      </c>
      <c r="B2" s="13"/>
      <c r="C2" s="13"/>
      <c r="D2" s="13"/>
      <c r="E2" s="13"/>
      <c r="F2" s="13"/>
      <c r="G2" s="13"/>
    </row>
    <row r="4" customFormat="false" ht="16.5" hidden="false" customHeight="true" outlineLevel="0" collapsed="false">
      <c r="A4" s="24" t="s">
        <v>65</v>
      </c>
      <c r="B4" s="24"/>
      <c r="C4" s="24"/>
      <c r="D4" s="24"/>
      <c r="E4" s="24"/>
      <c r="F4" s="24"/>
      <c r="G4" s="24"/>
    </row>
    <row r="5" customFormat="false" ht="15" hidden="false" customHeight="true" outlineLevel="0" collapsed="false">
      <c r="A5" s="25" t="s">
        <v>66</v>
      </c>
      <c r="B5" s="25" t="s">
        <v>67</v>
      </c>
      <c r="C5" s="25" t="s">
        <v>68</v>
      </c>
      <c r="D5" s="25" t="s">
        <v>69</v>
      </c>
      <c r="E5" s="25" t="s">
        <v>70</v>
      </c>
      <c r="F5" s="25"/>
      <c r="G5" s="25"/>
    </row>
    <row r="6" customFormat="false" ht="30" hidden="false" customHeight="true" outlineLevel="0" collapsed="false">
      <c r="A6" s="26" t="s">
        <v>71</v>
      </c>
      <c r="B6" s="27" t="s">
        <v>72</v>
      </c>
      <c r="C6" s="28" t="s">
        <v>73</v>
      </c>
      <c r="D6" s="29" t="s">
        <v>74</v>
      </c>
      <c r="E6" s="30"/>
      <c r="F6" s="30"/>
      <c r="G6" s="30"/>
    </row>
    <row r="7" customFormat="false" ht="30" hidden="false" customHeight="true" outlineLevel="0" collapsed="false">
      <c r="A7" s="26" t="s">
        <v>75</v>
      </c>
      <c r="B7" s="27" t="s">
        <v>76</v>
      </c>
      <c r="C7" s="28" t="s">
        <v>77</v>
      </c>
      <c r="D7" s="31" t="s">
        <v>78</v>
      </c>
      <c r="E7" s="30"/>
      <c r="F7" s="30"/>
      <c r="G7" s="30"/>
    </row>
    <row r="8" customFormat="false" ht="30" hidden="false" customHeight="true" outlineLevel="0" collapsed="false">
      <c r="A8" s="26" t="s">
        <v>79</v>
      </c>
      <c r="B8" s="27" t="s">
        <v>80</v>
      </c>
      <c r="C8" s="32" t="s">
        <v>81</v>
      </c>
      <c r="D8" s="31" t="s">
        <v>82</v>
      </c>
      <c r="E8" s="30"/>
      <c r="F8" s="30"/>
      <c r="G8" s="30"/>
    </row>
    <row r="9" customFormat="false" ht="30" hidden="false" customHeight="true" outlineLevel="0" collapsed="false">
      <c r="A9" s="26" t="s">
        <v>83</v>
      </c>
      <c r="B9" s="33" t="s">
        <v>84</v>
      </c>
      <c r="C9" s="32" t="s">
        <v>85</v>
      </c>
      <c r="D9" s="31" t="s">
        <v>86</v>
      </c>
      <c r="E9" s="30"/>
      <c r="F9" s="30"/>
      <c r="G9" s="30"/>
    </row>
    <row r="10" customFormat="false" ht="30" hidden="false" customHeight="true" outlineLevel="0" collapsed="false">
      <c r="A10" s="34" t="s">
        <v>87</v>
      </c>
      <c r="B10" s="27" t="s">
        <v>88</v>
      </c>
      <c r="C10" s="28" t="s">
        <v>89</v>
      </c>
      <c r="D10" s="31" t="s">
        <v>90</v>
      </c>
      <c r="E10" s="30"/>
      <c r="F10" s="30"/>
      <c r="G10" s="30"/>
    </row>
    <row r="11" customFormat="false" ht="30" hidden="false" customHeight="true" outlineLevel="0" collapsed="false">
      <c r="A11" s="26" t="s">
        <v>91</v>
      </c>
      <c r="B11" s="27" t="s">
        <v>92</v>
      </c>
      <c r="C11" s="28" t="s">
        <v>93</v>
      </c>
      <c r="D11" s="31" t="s">
        <v>94</v>
      </c>
      <c r="E11" s="30"/>
      <c r="F11" s="30"/>
      <c r="G11" s="30"/>
    </row>
    <row r="13" customFormat="false" ht="16.5" hidden="false" customHeight="true" outlineLevel="0" collapsed="false">
      <c r="A13" s="24" t="s">
        <v>95</v>
      </c>
      <c r="B13" s="24"/>
      <c r="C13" s="24"/>
      <c r="D13" s="24"/>
      <c r="E13" s="24"/>
      <c r="F13" s="24"/>
      <c r="G13" s="24"/>
    </row>
    <row r="14" customFormat="false" ht="15" hidden="false" customHeight="true" outlineLevel="0" collapsed="false">
      <c r="A14" s="25" t="s">
        <v>96</v>
      </c>
      <c r="B14" s="25" t="s">
        <v>97</v>
      </c>
      <c r="C14" s="25" t="s">
        <v>98</v>
      </c>
      <c r="D14" s="25" t="s">
        <v>99</v>
      </c>
      <c r="E14" s="25" t="s">
        <v>100</v>
      </c>
      <c r="F14" s="25" t="s">
        <v>70</v>
      </c>
      <c r="G14" s="25"/>
    </row>
    <row r="15" customFormat="false" ht="45.75" hidden="false" customHeight="true" outlineLevel="0" collapsed="false">
      <c r="A15" s="34" t="s">
        <v>101</v>
      </c>
      <c r="B15" s="34" t="s">
        <v>102</v>
      </c>
      <c r="C15" s="33" t="s">
        <v>103</v>
      </c>
      <c r="D15" s="31" t="s">
        <v>104</v>
      </c>
      <c r="E15" s="28" t="s">
        <v>105</v>
      </c>
      <c r="F15" s="30"/>
      <c r="G15" s="30"/>
    </row>
    <row r="16" customFormat="false" ht="45.75" hidden="false" customHeight="true" outlineLevel="0" collapsed="false">
      <c r="A16" s="34" t="s">
        <v>106</v>
      </c>
      <c r="B16" s="34" t="s">
        <v>107</v>
      </c>
      <c r="C16" s="27" t="s">
        <v>108</v>
      </c>
      <c r="D16" s="29" t="s">
        <v>109</v>
      </c>
      <c r="E16" s="28" t="s">
        <v>110</v>
      </c>
      <c r="F16" s="30"/>
      <c r="G16" s="30"/>
    </row>
    <row r="17" customFormat="false" ht="45.75" hidden="false" customHeight="true" outlineLevel="0" collapsed="false">
      <c r="A17" s="34" t="s">
        <v>111</v>
      </c>
      <c r="B17" s="26" t="s">
        <v>112</v>
      </c>
      <c r="C17" s="27" t="s">
        <v>113</v>
      </c>
      <c r="D17" s="31" t="s">
        <v>114</v>
      </c>
      <c r="E17" s="32" t="s">
        <v>115</v>
      </c>
      <c r="F17" s="30"/>
      <c r="G17" s="30"/>
    </row>
    <row r="18" customFormat="false" ht="45.75" hidden="false" customHeight="true" outlineLevel="0" collapsed="false">
      <c r="A18" s="34" t="s">
        <v>116</v>
      </c>
      <c r="B18" s="34" t="s">
        <v>117</v>
      </c>
      <c r="C18" s="27" t="s">
        <v>118</v>
      </c>
      <c r="D18" s="29" t="s">
        <v>119</v>
      </c>
      <c r="E18" s="28" t="s">
        <v>120</v>
      </c>
      <c r="F18" s="30"/>
      <c r="G18" s="30"/>
    </row>
    <row r="19" customFormat="false" ht="45.75" hidden="false" customHeight="true" outlineLevel="0" collapsed="false">
      <c r="A19" s="34" t="s">
        <v>121</v>
      </c>
      <c r="B19" s="34" t="s">
        <v>122</v>
      </c>
      <c r="C19" s="33" t="s">
        <v>123</v>
      </c>
      <c r="D19" s="31" t="s">
        <v>124</v>
      </c>
      <c r="E19" s="28" t="s">
        <v>125</v>
      </c>
      <c r="F19" s="30"/>
      <c r="G19" s="30"/>
    </row>
    <row r="20" customFormat="false" ht="45.75" hidden="false" customHeight="true" outlineLevel="0" collapsed="false">
      <c r="A20" s="26" t="s">
        <v>126</v>
      </c>
      <c r="B20" s="34" t="s">
        <v>127</v>
      </c>
      <c r="C20" s="33" t="s">
        <v>128</v>
      </c>
      <c r="D20" s="31" t="s">
        <v>129</v>
      </c>
      <c r="E20" s="28" t="s">
        <v>130</v>
      </c>
      <c r="F20" s="30"/>
      <c r="G20" s="30"/>
    </row>
    <row r="21" customFormat="false" ht="15.75" hidden="false" customHeight="true" outlineLevel="0" collapsed="false"/>
    <row r="22" customFormat="false" ht="16.5" hidden="false" customHeight="true" outlineLevel="0" collapsed="false">
      <c r="A22" s="24" t="s">
        <v>131</v>
      </c>
      <c r="B22" s="24"/>
      <c r="C22" s="24"/>
      <c r="D22" s="24"/>
      <c r="E22" s="24"/>
      <c r="F22" s="24"/>
      <c r="G22" s="24"/>
    </row>
    <row r="23" customFormat="false" ht="27.75" hidden="false" customHeight="true" outlineLevel="0" collapsed="false">
      <c r="A23" s="26" t="s">
        <v>132</v>
      </c>
      <c r="B23" s="27" t="s">
        <v>133</v>
      </c>
      <c r="C23" s="27"/>
      <c r="D23" s="27"/>
      <c r="E23" s="27"/>
      <c r="F23" s="27"/>
      <c r="G23" s="27"/>
    </row>
    <row r="24" customFormat="false" ht="27.75" hidden="false" customHeight="true" outlineLevel="0" collapsed="false">
      <c r="A24" s="34" t="s">
        <v>134</v>
      </c>
      <c r="B24" s="27" t="s">
        <v>135</v>
      </c>
      <c r="C24" s="27"/>
      <c r="D24" s="27"/>
      <c r="E24" s="27"/>
      <c r="F24" s="27"/>
      <c r="G24" s="27"/>
    </row>
    <row r="25" customFormat="false" ht="27.75" hidden="false" customHeight="true" outlineLevel="0" collapsed="false">
      <c r="A25" s="26" t="s">
        <v>136</v>
      </c>
      <c r="B25" s="33" t="s">
        <v>137</v>
      </c>
      <c r="C25" s="33"/>
      <c r="D25" s="33"/>
      <c r="E25" s="33"/>
      <c r="F25" s="33"/>
      <c r="G25" s="33"/>
    </row>
    <row r="26" customFormat="false" ht="27.75" hidden="false" customHeight="true" outlineLevel="0" collapsed="false">
      <c r="A26" s="34" t="s">
        <v>138</v>
      </c>
      <c r="B26" s="27" t="s">
        <v>139</v>
      </c>
      <c r="C26" s="27"/>
      <c r="D26" s="27"/>
      <c r="E26" s="27"/>
      <c r="F26" s="27"/>
      <c r="G26" s="27"/>
    </row>
    <row r="27" customFormat="false" ht="27.75" hidden="false" customHeight="true" outlineLevel="0" collapsed="false">
      <c r="A27" s="26" t="s">
        <v>140</v>
      </c>
      <c r="B27" s="27" t="s">
        <v>141</v>
      </c>
      <c r="C27" s="27"/>
      <c r="D27" s="27"/>
      <c r="E27" s="27"/>
      <c r="F27" s="27"/>
      <c r="G27" s="27"/>
    </row>
    <row r="28" customFormat="false" ht="27.75" hidden="false" customHeight="true" outlineLevel="0" collapsed="false">
      <c r="A28" s="26" t="s">
        <v>142</v>
      </c>
      <c r="B28" s="27" t="s">
        <v>143</v>
      </c>
      <c r="C28" s="27"/>
      <c r="D28" s="27"/>
      <c r="E28" s="27"/>
      <c r="F28" s="27"/>
      <c r="G28" s="27"/>
    </row>
    <row r="29" customFormat="false" ht="15.75" hidden="false" customHeight="true" outlineLevel="0" collapsed="false"/>
    <row r="30" customFormat="false" ht="16.5" hidden="false" customHeight="true" outlineLevel="0" collapsed="false">
      <c r="A30" s="24" t="s">
        <v>144</v>
      </c>
      <c r="B30" s="24"/>
      <c r="C30" s="24"/>
      <c r="D30" s="24"/>
      <c r="E30" s="24"/>
      <c r="F30" s="24"/>
      <c r="G30" s="24"/>
    </row>
    <row r="31" customFormat="false" ht="24" hidden="false" customHeight="true" outlineLevel="0" collapsed="false">
      <c r="A31" s="35" t="s">
        <v>145</v>
      </c>
      <c r="B31" s="35"/>
      <c r="C31" s="35"/>
      <c r="D31" s="35"/>
      <c r="E31" s="35"/>
      <c r="F31" s="35"/>
      <c r="G31" s="35"/>
    </row>
    <row r="32" customFormat="false" ht="24" hidden="false" customHeight="true" outlineLevel="0" collapsed="false">
      <c r="A32" s="35" t="s">
        <v>146</v>
      </c>
      <c r="B32" s="35"/>
      <c r="C32" s="35"/>
      <c r="D32" s="35"/>
      <c r="E32" s="35"/>
      <c r="F32" s="35"/>
      <c r="G32" s="35"/>
    </row>
    <row r="33" customFormat="false" ht="24" hidden="false" customHeight="true" outlineLevel="0" collapsed="false">
      <c r="A33" s="36" t="s">
        <v>147</v>
      </c>
      <c r="B33" s="36"/>
      <c r="C33" s="36"/>
      <c r="D33" s="36"/>
      <c r="E33" s="36"/>
      <c r="F33" s="36"/>
      <c r="G33" s="36"/>
    </row>
    <row r="34" customFormat="false" ht="24" hidden="false" customHeight="true" outlineLevel="0" collapsed="false">
      <c r="A34" s="35" t="s">
        <v>148</v>
      </c>
      <c r="B34" s="35"/>
      <c r="C34" s="35"/>
      <c r="D34" s="35"/>
      <c r="E34" s="35"/>
      <c r="F34" s="35"/>
      <c r="G34" s="35"/>
    </row>
    <row r="35" customFormat="false" ht="24" hidden="false" customHeight="true" outlineLevel="0" collapsed="false">
      <c r="A35" s="37" t="s">
        <v>149</v>
      </c>
      <c r="B35" s="37"/>
      <c r="C35" s="37"/>
      <c r="D35" s="37"/>
      <c r="E35" s="37"/>
      <c r="F35" s="37"/>
      <c r="G35" s="37"/>
    </row>
    <row r="36" customFormat="false" ht="24" hidden="false" customHeight="true" outlineLevel="0" collapsed="false">
      <c r="A36" s="37" t="s">
        <v>150</v>
      </c>
      <c r="B36" s="37"/>
      <c r="C36" s="37"/>
      <c r="D36" s="37"/>
      <c r="E36" s="37"/>
      <c r="F36" s="37"/>
      <c r="G36" s="37"/>
    </row>
    <row r="37" customFormat="false" ht="15.75" hidden="false" customHeight="true" outlineLevel="0" collapsed="false"/>
    <row r="38" customFormat="false" ht="13.5" hidden="false" customHeight="true" outlineLevel="0" collapsed="false">
      <c r="A38" s="13" t="s">
        <v>151</v>
      </c>
      <c r="B38" s="13"/>
      <c r="C38" s="13"/>
      <c r="D38" s="13"/>
      <c r="E38" s="13"/>
      <c r="F38" s="13"/>
      <c r="G38" s="13"/>
    </row>
    <row r="39" customFormat="false" ht="13.5" hidden="false" customHeight="true" outlineLevel="0" collapsed="false">
      <c r="A39" s="13" t="s">
        <v>152</v>
      </c>
      <c r="B39" s="13"/>
      <c r="C39" s="13"/>
      <c r="D39" s="13"/>
      <c r="E39" s="13"/>
      <c r="F39" s="13"/>
      <c r="G39" s="13"/>
    </row>
    <row r="40" customFormat="false" ht="15.75" hidden="false" customHeight="true" outlineLevel="0" collapsed="false"/>
    <row r="41" customFormat="false" ht="15.75" hidden="false" customHeight="true" outlineLevel="0" collapsed="false">
      <c r="A41" s="24" t="s">
        <v>153</v>
      </c>
      <c r="B41" s="24"/>
      <c r="C41" s="24"/>
      <c r="D41" s="24"/>
      <c r="E41" s="24"/>
      <c r="F41" s="24"/>
      <c r="G41" s="24"/>
    </row>
    <row r="42" customFormat="false" ht="15.75" hidden="false" customHeight="true" outlineLevel="0" collapsed="false">
      <c r="A42" s="25" t="s">
        <v>96</v>
      </c>
      <c r="B42" s="25" t="s">
        <v>97</v>
      </c>
      <c r="C42" s="25" t="s">
        <v>154</v>
      </c>
      <c r="D42" s="25" t="s">
        <v>99</v>
      </c>
      <c r="E42" s="25" t="s">
        <v>100</v>
      </c>
      <c r="F42" s="25" t="s">
        <v>70</v>
      </c>
      <c r="G42" s="25"/>
    </row>
    <row r="43" customFormat="false" ht="51.75" hidden="false" customHeight="true" outlineLevel="0" collapsed="false">
      <c r="A43" s="34" t="s">
        <v>155</v>
      </c>
      <c r="B43" s="26" t="s">
        <v>156</v>
      </c>
      <c r="C43" s="27" t="s">
        <v>157</v>
      </c>
      <c r="D43" s="31" t="s">
        <v>158</v>
      </c>
      <c r="E43" s="28" t="s">
        <v>159</v>
      </c>
      <c r="F43" s="30"/>
      <c r="G43" s="30"/>
    </row>
    <row r="44" customFormat="false" ht="51.75" hidden="false" customHeight="true" outlineLevel="0" collapsed="false">
      <c r="A44" s="26" t="s">
        <v>160</v>
      </c>
      <c r="B44" s="34" t="s">
        <v>161</v>
      </c>
      <c r="C44" s="27" t="s">
        <v>162</v>
      </c>
      <c r="D44" s="29" t="s">
        <v>163</v>
      </c>
      <c r="E44" s="32" t="s">
        <v>164</v>
      </c>
      <c r="F44" s="30"/>
      <c r="G44" s="30"/>
    </row>
    <row r="45" customFormat="false" ht="51.75" hidden="false" customHeight="true" outlineLevel="0" collapsed="false">
      <c r="A45" s="26" t="s">
        <v>160</v>
      </c>
      <c r="B45" s="34" t="s">
        <v>165</v>
      </c>
      <c r="C45" s="33" t="s">
        <v>166</v>
      </c>
      <c r="D45" s="29" t="s">
        <v>167</v>
      </c>
      <c r="E45" s="28" t="s">
        <v>168</v>
      </c>
      <c r="F45" s="30"/>
      <c r="G45" s="30"/>
    </row>
    <row r="46" customFormat="false" ht="51.75" hidden="false" customHeight="true" outlineLevel="0" collapsed="false">
      <c r="A46" s="34" t="s">
        <v>169</v>
      </c>
      <c r="B46" s="26" t="s">
        <v>170</v>
      </c>
      <c r="C46" s="33" t="s">
        <v>171</v>
      </c>
      <c r="D46" s="29" t="s">
        <v>172</v>
      </c>
      <c r="E46" s="32" t="s">
        <v>173</v>
      </c>
      <c r="F46" s="30"/>
      <c r="G46" s="30"/>
    </row>
    <row r="47" customFormat="false" ht="51.75" hidden="false" customHeight="true" outlineLevel="0" collapsed="false">
      <c r="A47" s="26" t="s">
        <v>174</v>
      </c>
      <c r="B47" s="26" t="s">
        <v>175</v>
      </c>
      <c r="C47" s="33" t="s">
        <v>176</v>
      </c>
      <c r="D47" s="31" t="s">
        <v>177</v>
      </c>
      <c r="E47" s="28" t="s">
        <v>178</v>
      </c>
      <c r="F47" s="30"/>
      <c r="G47" s="30"/>
    </row>
    <row r="48" customFormat="false" ht="15.75" hidden="false" customHeight="true" outlineLevel="0" collapsed="false"/>
    <row r="49" customFormat="false" ht="15.75" hidden="false" customHeight="true" outlineLevel="0" collapsed="false">
      <c r="A49" s="13" t="s">
        <v>179</v>
      </c>
      <c r="B49" s="13"/>
      <c r="C49" s="13"/>
      <c r="D49" s="13"/>
      <c r="E49" s="13"/>
      <c r="F49" s="13"/>
      <c r="G49" s="13"/>
    </row>
    <row r="50" customFormat="false" ht="15.75" hidden="false" customHeight="true" outlineLevel="0" collapsed="false">
      <c r="A50" s="13" t="s">
        <v>180</v>
      </c>
      <c r="B50" s="13"/>
      <c r="C50" s="13"/>
      <c r="D50" s="13"/>
      <c r="E50" s="13"/>
      <c r="F50" s="13"/>
      <c r="G50" s="13"/>
    </row>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mergeCells count="43">
    <mergeCell ref="A1:G1"/>
    <mergeCell ref="A2:G2"/>
    <mergeCell ref="A4:G4"/>
    <mergeCell ref="E5:G5"/>
    <mergeCell ref="E6:G6"/>
    <mergeCell ref="E7:G7"/>
    <mergeCell ref="E8:G8"/>
    <mergeCell ref="E9:G9"/>
    <mergeCell ref="E10:G10"/>
    <mergeCell ref="E11:G11"/>
    <mergeCell ref="A13:G13"/>
    <mergeCell ref="F14:G14"/>
    <mergeCell ref="F15:G15"/>
    <mergeCell ref="F16:G16"/>
    <mergeCell ref="F17:G17"/>
    <mergeCell ref="F18:G18"/>
    <mergeCell ref="F19:G19"/>
    <mergeCell ref="F20:G20"/>
    <mergeCell ref="A22:G22"/>
    <mergeCell ref="B23:G23"/>
    <mergeCell ref="B24:G24"/>
    <mergeCell ref="B25:G25"/>
    <mergeCell ref="B26:G26"/>
    <mergeCell ref="B27:G27"/>
    <mergeCell ref="B28:G28"/>
    <mergeCell ref="A30:G30"/>
    <mergeCell ref="A31:G31"/>
    <mergeCell ref="A32:G32"/>
    <mergeCell ref="A33:G33"/>
    <mergeCell ref="A34:G34"/>
    <mergeCell ref="A35:G35"/>
    <mergeCell ref="A36:G36"/>
    <mergeCell ref="A38:G38"/>
    <mergeCell ref="A39:G39"/>
    <mergeCell ref="A41:G41"/>
    <mergeCell ref="F42:G42"/>
    <mergeCell ref="F43:G43"/>
    <mergeCell ref="F44:G44"/>
    <mergeCell ref="F45:G45"/>
    <mergeCell ref="F46:G46"/>
    <mergeCell ref="F47:G47"/>
    <mergeCell ref="A49:G49"/>
    <mergeCell ref="A50:G5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B3" activeCellId="0" sqref="B3"/>
    </sheetView>
  </sheetViews>
  <sheetFormatPr defaultColWidth="12.62890625" defaultRowHeight="15" customHeight="true" zeroHeight="false" outlineLevelRow="0" outlineLevelCol="0"/>
  <cols>
    <col collapsed="false" customWidth="true" hidden="false" outlineLevel="0" max="1" min="1" style="1" width="30"/>
    <col collapsed="false" customWidth="true" hidden="false" outlineLevel="0" max="2" min="2" style="1" width="16"/>
    <col collapsed="false" customWidth="true" hidden="false" outlineLevel="0" max="3" min="3" style="1" width="10"/>
    <col collapsed="false" customWidth="true" hidden="false" outlineLevel="0" max="4" min="4" style="1" width="52"/>
    <col collapsed="false" customWidth="true" hidden="false" outlineLevel="0" max="26" min="5" style="1" width="8.63"/>
  </cols>
  <sheetData>
    <row r="1" customFormat="false" ht="24" hidden="false" customHeight="true" outlineLevel="0" collapsed="false">
      <c r="A1" s="23" t="s">
        <v>181</v>
      </c>
      <c r="B1" s="23"/>
      <c r="C1" s="23"/>
      <c r="D1" s="23"/>
      <c r="E1" s="23"/>
    </row>
    <row r="3" customFormat="false" ht="15" hidden="false" customHeight="true" outlineLevel="0" collapsed="false">
      <c r="A3" s="38" t="s">
        <v>182</v>
      </c>
      <c r="B3" s="38" t="s">
        <v>183</v>
      </c>
      <c r="C3" s="38" t="s">
        <v>184</v>
      </c>
      <c r="D3" s="38" t="s">
        <v>185</v>
      </c>
    </row>
    <row r="4" customFormat="false" ht="15" hidden="false" customHeight="true" outlineLevel="0" collapsed="false">
      <c r="A4" s="8" t="s">
        <v>186</v>
      </c>
      <c r="B4" s="8"/>
      <c r="C4" s="8"/>
      <c r="D4" s="8"/>
    </row>
    <row r="5" customFormat="false" ht="15" hidden="false" customHeight="true" outlineLevel="0" collapsed="false">
      <c r="A5" s="10" t="s">
        <v>187</v>
      </c>
      <c r="B5" s="39" t="n">
        <v>900</v>
      </c>
      <c r="C5" s="40" t="s">
        <v>188</v>
      </c>
      <c r="D5" s="41" t="s">
        <v>189</v>
      </c>
    </row>
    <row r="6" customFormat="false" ht="15" hidden="false" customHeight="true" outlineLevel="0" collapsed="false">
      <c r="A6" s="10" t="s">
        <v>190</v>
      </c>
      <c r="B6" s="42" t="n">
        <v>1130</v>
      </c>
      <c r="C6" s="43" t="s">
        <v>191</v>
      </c>
      <c r="D6" s="44" t="s">
        <v>192</v>
      </c>
    </row>
    <row r="7" customFormat="false" ht="15" hidden="false" customHeight="true" outlineLevel="0" collapsed="false">
      <c r="A7" s="10" t="s">
        <v>193</v>
      </c>
      <c r="B7" s="39" t="n">
        <v>89.22</v>
      </c>
      <c r="C7" s="40" t="s">
        <v>188</v>
      </c>
      <c r="D7" s="44" t="s">
        <v>194</v>
      </c>
    </row>
    <row r="8" customFormat="false" ht="15" hidden="false" customHeight="true" outlineLevel="0" collapsed="false">
      <c r="A8" s="10" t="s">
        <v>195</v>
      </c>
      <c r="B8" s="42" t="n">
        <v>23750</v>
      </c>
      <c r="C8" s="43" t="s">
        <v>196</v>
      </c>
      <c r="D8" s="41" t="s">
        <v>197</v>
      </c>
    </row>
    <row r="9" customFormat="false" ht="15" hidden="false" customHeight="true" outlineLevel="0" collapsed="false">
      <c r="A9" s="10" t="s">
        <v>198</v>
      </c>
      <c r="B9" s="45" t="n">
        <f aca="false">B5*B6</f>
        <v>1017000</v>
      </c>
      <c r="C9" s="43" t="s">
        <v>196</v>
      </c>
      <c r="D9" s="41" t="s">
        <v>199</v>
      </c>
    </row>
    <row r="10" customFormat="false" ht="15" hidden="false" customHeight="true" outlineLevel="0" collapsed="false">
      <c r="A10" s="10" t="s">
        <v>200</v>
      </c>
      <c r="B10" s="46" t="n">
        <f aca="false">B5/B7</f>
        <v>10.0874243443174</v>
      </c>
      <c r="C10" s="43" t="s">
        <v>201</v>
      </c>
      <c r="D10" s="41" t="s">
        <v>202</v>
      </c>
    </row>
    <row r="12" customFormat="false" ht="16.5" hidden="false" customHeight="true" outlineLevel="0" collapsed="false">
      <c r="A12" s="8" t="s">
        <v>203</v>
      </c>
      <c r="B12" s="8"/>
      <c r="C12" s="8"/>
      <c r="D12" s="8"/>
    </row>
    <row r="13" customFormat="false" ht="15" hidden="false" customHeight="true" outlineLevel="0" collapsed="false">
      <c r="A13" s="10" t="s">
        <v>204</v>
      </c>
      <c r="B13" s="47" t="n">
        <v>0.043</v>
      </c>
      <c r="C13" s="40" t="s">
        <v>205</v>
      </c>
      <c r="D13" s="41" t="s">
        <v>206</v>
      </c>
    </row>
    <row r="14" customFormat="false" ht="15" hidden="false" customHeight="true" outlineLevel="0" collapsed="false">
      <c r="A14" s="10" t="s">
        <v>207</v>
      </c>
      <c r="B14" s="48" t="n">
        <v>2.14</v>
      </c>
      <c r="C14" s="40" t="s">
        <v>208</v>
      </c>
      <c r="D14" s="44" t="s">
        <v>209</v>
      </c>
    </row>
    <row r="15" customFormat="false" ht="15" hidden="false" customHeight="true" outlineLevel="0" collapsed="false">
      <c r="A15" s="10" t="s">
        <v>210</v>
      </c>
      <c r="B15" s="47" t="n">
        <v>0.05</v>
      </c>
      <c r="C15" s="40" t="s">
        <v>205</v>
      </c>
      <c r="D15" s="41" t="s">
        <v>211</v>
      </c>
    </row>
    <row r="16" customFormat="false" ht="15" hidden="false" customHeight="true" outlineLevel="0" collapsed="false">
      <c r="A16" s="10" t="s">
        <v>212</v>
      </c>
      <c r="B16" s="49" t="n">
        <f aca="false">B13+B14*B15</f>
        <v>0.15</v>
      </c>
      <c r="C16" s="40" t="s">
        <v>205</v>
      </c>
      <c r="D16" s="44" t="s">
        <v>213</v>
      </c>
    </row>
    <row r="18" customFormat="false" ht="15" hidden="false" customHeight="true" outlineLevel="0" collapsed="false">
      <c r="A18" s="8" t="s">
        <v>214</v>
      </c>
      <c r="B18" s="8"/>
      <c r="C18" s="8"/>
      <c r="D18" s="8"/>
    </row>
    <row r="19" customFormat="false" ht="15" hidden="false" customHeight="true" outlineLevel="0" collapsed="false">
      <c r="A19" s="50" t="s">
        <v>215</v>
      </c>
      <c r="B19" s="42" t="n">
        <v>90274</v>
      </c>
      <c r="C19" s="43" t="s">
        <v>196</v>
      </c>
      <c r="D19" s="44" t="s">
        <v>216</v>
      </c>
    </row>
    <row r="20" customFormat="false" ht="15" hidden="false" customHeight="true" outlineLevel="0" collapsed="false">
      <c r="A20" s="50" t="s">
        <v>217</v>
      </c>
      <c r="B20" s="42" t="n">
        <v>50469</v>
      </c>
      <c r="C20" s="43" t="s">
        <v>196</v>
      </c>
      <c r="D20" s="44" t="s">
        <v>216</v>
      </c>
    </row>
    <row r="21" customFormat="false" ht="15" hidden="false" customHeight="true" outlineLevel="0" collapsed="false">
      <c r="A21" s="50" t="s">
        <v>218</v>
      </c>
      <c r="B21" s="39" t="n">
        <v>44.17</v>
      </c>
      <c r="C21" s="40" t="s">
        <v>188</v>
      </c>
      <c r="D21" s="44" t="s">
        <v>219</v>
      </c>
    </row>
    <row r="22" customFormat="false" ht="15" hidden="false" customHeight="true" outlineLevel="0" collapsed="false">
      <c r="A22" s="50" t="s">
        <v>220</v>
      </c>
      <c r="B22" s="49" t="n">
        <f aca="false">B20/B19</f>
        <v>0.559064625473558</v>
      </c>
      <c r="C22" s="40" t="s">
        <v>205</v>
      </c>
      <c r="D22" s="41" t="s">
        <v>221</v>
      </c>
    </row>
    <row r="23" customFormat="false" ht="15" hidden="false" customHeight="true" outlineLevel="0" collapsed="false">
      <c r="A23" s="50" t="s">
        <v>222</v>
      </c>
      <c r="B23" s="49" t="n">
        <f aca="false">B20/(B7*B6)</f>
        <v>0.500592152638501</v>
      </c>
      <c r="C23" s="40" t="s">
        <v>205</v>
      </c>
      <c r="D23" s="41" t="s">
        <v>223</v>
      </c>
    </row>
    <row r="24" customFormat="false" ht="15" hidden="false" customHeight="true" outlineLevel="0" collapsed="false">
      <c r="A24" s="10" t="s">
        <v>224</v>
      </c>
      <c r="B24" s="51" t="n">
        <v>154.67</v>
      </c>
      <c r="C24" s="40" t="s">
        <v>188</v>
      </c>
      <c r="D24" s="44" t="s">
        <v>225</v>
      </c>
    </row>
    <row r="25" customFormat="false" ht="15" hidden="false" customHeight="true" outlineLevel="0" collapsed="false">
      <c r="A25" s="50" t="s">
        <v>226</v>
      </c>
      <c r="B25" s="52" t="n">
        <f aca="false">B7+B24-0.6</f>
        <v>243.29</v>
      </c>
      <c r="C25" s="40" t="s">
        <v>188</v>
      </c>
      <c r="D25" s="41" t="s">
        <v>227</v>
      </c>
    </row>
    <row r="26" customFormat="false" ht="15" hidden="false" customHeight="true" outlineLevel="0" collapsed="false">
      <c r="A26" s="50" t="s">
        <v>228</v>
      </c>
      <c r="B26" s="53" t="n">
        <f aca="false">Consensus!F24</f>
        <v>437.94</v>
      </c>
      <c r="C26" s="40" t="s">
        <v>188</v>
      </c>
      <c r="D26" s="41" t="s">
        <v>229</v>
      </c>
    </row>
    <row r="27" customFormat="false" ht="15" hidden="false" customHeight="true" outlineLevel="0" collapsed="false">
      <c r="A27" s="8" t="s">
        <v>230</v>
      </c>
      <c r="B27" s="8"/>
      <c r="C27" s="8"/>
      <c r="D27" s="8"/>
    </row>
    <row r="28" customFormat="false" ht="15" hidden="false" customHeight="true" outlineLevel="0" collapsed="false">
      <c r="A28" s="10" t="s">
        <v>231</v>
      </c>
      <c r="B28" s="47" t="n">
        <v>0.3</v>
      </c>
      <c r="C28" s="40" t="s">
        <v>205</v>
      </c>
      <c r="D28" s="41" t="s">
        <v>232</v>
      </c>
    </row>
    <row r="29" customFormat="false" ht="15" hidden="false" customHeight="true" outlineLevel="0" collapsed="false">
      <c r="A29" s="10" t="s">
        <v>233</v>
      </c>
      <c r="B29" s="47" t="n">
        <v>0.05</v>
      </c>
      <c r="C29" s="40" t="s">
        <v>205</v>
      </c>
      <c r="D29" s="41" t="s">
        <v>234</v>
      </c>
    </row>
    <row r="30" customFormat="false" ht="15" hidden="false" customHeight="true" outlineLevel="0" collapsed="false">
      <c r="A30" s="10" t="s">
        <v>235</v>
      </c>
      <c r="B30" s="54" t="n">
        <v>65000</v>
      </c>
      <c r="C30" s="43" t="s">
        <v>196</v>
      </c>
      <c r="D30" s="41" t="s">
        <v>236</v>
      </c>
    </row>
    <row r="31" customFormat="false" ht="15" hidden="false" customHeight="true" outlineLevel="0" collapsed="false">
      <c r="A31" s="10" t="s">
        <v>237</v>
      </c>
      <c r="B31" s="47" t="n">
        <v>0.2</v>
      </c>
      <c r="C31" s="40" t="s">
        <v>205</v>
      </c>
      <c r="D31" s="41" t="s">
        <v>238</v>
      </c>
    </row>
    <row r="32" customFormat="false" ht="15" hidden="false" customHeight="true" outlineLevel="0" collapsed="false">
      <c r="A32" s="10" t="s">
        <v>239</v>
      </c>
      <c r="B32" s="55" t="n">
        <v>12</v>
      </c>
      <c r="C32" s="43" t="s">
        <v>201</v>
      </c>
      <c r="D32" s="41" t="s">
        <v>240</v>
      </c>
    </row>
    <row r="33" customFormat="false" ht="15" hidden="false" customHeight="true" outlineLevel="0" collapsed="false">
      <c r="A33" s="50" t="s">
        <v>241</v>
      </c>
      <c r="B33" s="56" t="n">
        <v>3</v>
      </c>
      <c r="C33" s="40" t="s">
        <v>208</v>
      </c>
      <c r="D33" s="44" t="s">
        <v>242</v>
      </c>
    </row>
    <row r="34" customFormat="false" ht="15" hidden="false" customHeight="true" outlineLevel="0" collapsed="false">
      <c r="A34" s="10" t="s">
        <v>243</v>
      </c>
      <c r="B34" s="52" t="n">
        <f aca="false">IF(B33=3,B26,IF(B33=2,B25,B7))</f>
        <v>437.94</v>
      </c>
      <c r="C34" s="40" t="s">
        <v>188</v>
      </c>
      <c r="D34" s="41" t="s">
        <v>244</v>
      </c>
    </row>
    <row r="36" customFormat="false" ht="15" hidden="false" customHeight="true" outlineLevel="0" collapsed="false">
      <c r="A36" s="57" t="s">
        <v>245</v>
      </c>
      <c r="B36" s="57"/>
      <c r="C36" s="57"/>
      <c r="D36" s="57"/>
    </row>
    <row r="37" customFormat="false" ht="16.5" hidden="false" customHeight="true" outlineLevel="0" collapsed="false">
      <c r="A37" s="14" t="s">
        <v>246</v>
      </c>
      <c r="B37" s="14"/>
      <c r="C37" s="14"/>
      <c r="D37" s="14"/>
    </row>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mergeCells count="7">
    <mergeCell ref="A1:E1"/>
    <mergeCell ref="A4:D4"/>
    <mergeCell ref="A12:D12"/>
    <mergeCell ref="A18:D18"/>
    <mergeCell ref="A27:D27"/>
    <mergeCell ref="A36:D36"/>
    <mergeCell ref="A37:D3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B3" activeCellId="0" sqref="B3"/>
    </sheetView>
  </sheetViews>
  <sheetFormatPr defaultColWidth="12.62890625" defaultRowHeight="15" customHeight="true" zeroHeight="false" outlineLevelRow="0" outlineLevelCol="0"/>
  <cols>
    <col collapsed="false" customWidth="true" hidden="false" outlineLevel="0" max="1" min="1" style="1" width="30"/>
    <col collapsed="false" customWidth="true" hidden="false" outlineLevel="0" max="2" min="2" style="1" width="16"/>
    <col collapsed="false" customWidth="true" hidden="false" outlineLevel="0" max="3" min="3" style="1" width="10"/>
    <col collapsed="false" customWidth="true" hidden="false" outlineLevel="0" max="4" min="4" style="1" width="50"/>
    <col collapsed="false" customWidth="true" hidden="false" outlineLevel="0" max="26" min="5" style="1" width="8.63"/>
  </cols>
  <sheetData>
    <row r="1" customFormat="false" ht="24" hidden="false" customHeight="true" outlineLevel="0" collapsed="false">
      <c r="A1" s="23" t="s">
        <v>247</v>
      </c>
      <c r="B1" s="23"/>
      <c r="C1" s="23"/>
      <c r="D1" s="23"/>
    </row>
    <row r="3" customFormat="false" ht="15" hidden="false" customHeight="true" outlineLevel="0" collapsed="false">
      <c r="A3" s="38" t="s">
        <v>182</v>
      </c>
      <c r="B3" s="38" t="s">
        <v>183</v>
      </c>
      <c r="C3" s="38" t="s">
        <v>184</v>
      </c>
      <c r="D3" s="38" t="s">
        <v>248</v>
      </c>
    </row>
    <row r="4" customFormat="false" ht="15" hidden="false" customHeight="true" outlineLevel="0" collapsed="false">
      <c r="A4" s="8" t="s">
        <v>249</v>
      </c>
      <c r="B4" s="8"/>
      <c r="C4" s="8"/>
      <c r="D4" s="8"/>
    </row>
    <row r="5" customFormat="false" ht="15" hidden="false" customHeight="true" outlineLevel="0" collapsed="false">
      <c r="A5" s="10" t="s">
        <v>250</v>
      </c>
      <c r="B5" s="39" t="n">
        <v>739</v>
      </c>
      <c r="C5" s="40" t="s">
        <v>188</v>
      </c>
      <c r="D5" s="44" t="s">
        <v>251</v>
      </c>
    </row>
    <row r="6" customFormat="false" ht="15" hidden="false" customHeight="true" outlineLevel="0" collapsed="false">
      <c r="A6" s="50" t="s">
        <v>252</v>
      </c>
      <c r="B6" s="39" t="n">
        <v>1255</v>
      </c>
      <c r="C6" s="40" t="s">
        <v>188</v>
      </c>
      <c r="D6" s="44" t="s">
        <v>253</v>
      </c>
    </row>
    <row r="7" customFormat="false" ht="15" hidden="false" customHeight="true" outlineLevel="0" collapsed="false">
      <c r="A7" s="50" t="s">
        <v>254</v>
      </c>
      <c r="B7" s="39" t="n">
        <v>103.38</v>
      </c>
      <c r="C7" s="40" t="s">
        <v>188</v>
      </c>
      <c r="D7" s="44" t="s">
        <v>253</v>
      </c>
    </row>
    <row r="8" customFormat="false" ht="15" hidden="false" customHeight="true" outlineLevel="0" collapsed="false">
      <c r="A8" s="50" t="s">
        <v>255</v>
      </c>
      <c r="B8" s="49" t="n">
        <f aca="false">B5/B6-1</f>
        <v>-0.411155378486056</v>
      </c>
      <c r="C8" s="40" t="s">
        <v>205</v>
      </c>
      <c r="D8" s="41" t="s">
        <v>256</v>
      </c>
    </row>
    <row r="9" customFormat="false" ht="15" hidden="false" customHeight="true" outlineLevel="0" collapsed="false">
      <c r="A9" s="10" t="s">
        <v>198</v>
      </c>
      <c r="B9" s="42" t="n">
        <v>946490</v>
      </c>
      <c r="C9" s="43" t="s">
        <v>196</v>
      </c>
      <c r="D9" s="44" t="s">
        <v>253</v>
      </c>
    </row>
    <row r="10" customFormat="false" ht="15" hidden="false" customHeight="true" outlineLevel="0" collapsed="false">
      <c r="A10" s="8" t="s">
        <v>257</v>
      </c>
      <c r="B10" s="8"/>
      <c r="C10" s="8"/>
      <c r="D10" s="8"/>
    </row>
    <row r="11" customFormat="false" ht="15" hidden="false" customHeight="true" outlineLevel="0" collapsed="false">
      <c r="A11" s="50" t="s">
        <v>258</v>
      </c>
      <c r="B11" s="58" t="n">
        <v>18.97</v>
      </c>
      <c r="C11" s="43" t="s">
        <v>201</v>
      </c>
      <c r="D11" s="44" t="s">
        <v>259</v>
      </c>
    </row>
    <row r="12" customFormat="false" ht="15" hidden="false" customHeight="true" outlineLevel="0" collapsed="false">
      <c r="A12" s="50" t="s">
        <v>260</v>
      </c>
      <c r="B12" s="58" t="n">
        <v>5.42</v>
      </c>
      <c r="C12" s="43" t="s">
        <v>201</v>
      </c>
      <c r="D12" s="44" t="s">
        <v>261</v>
      </c>
    </row>
    <row r="13" customFormat="false" ht="15" hidden="false" customHeight="true" outlineLevel="0" collapsed="false">
      <c r="A13" s="50" t="s">
        <v>262</v>
      </c>
      <c r="B13" s="58" t="n">
        <v>9.39</v>
      </c>
      <c r="C13" s="43" t="s">
        <v>201</v>
      </c>
      <c r="D13" s="41" t="s">
        <v>263</v>
      </c>
    </row>
    <row r="14" customFormat="false" ht="15" hidden="false" customHeight="true" outlineLevel="0" collapsed="false">
      <c r="A14" s="50" t="s">
        <v>264</v>
      </c>
      <c r="B14" s="58" t="n">
        <v>10.48</v>
      </c>
      <c r="C14" s="43" t="s">
        <v>201</v>
      </c>
      <c r="D14" s="41" t="s">
        <v>265</v>
      </c>
    </row>
    <row r="15" customFormat="false" ht="15" hidden="false" customHeight="true" outlineLevel="0" collapsed="false">
      <c r="A15" s="50" t="s">
        <v>266</v>
      </c>
      <c r="B15" s="58" t="n">
        <v>13.56</v>
      </c>
      <c r="C15" s="43" t="s">
        <v>201</v>
      </c>
      <c r="D15" s="41" t="s">
        <v>267</v>
      </c>
    </row>
    <row r="16" customFormat="false" ht="15" hidden="false" customHeight="true" outlineLevel="0" collapsed="false">
      <c r="A16" s="50" t="s">
        <v>268</v>
      </c>
      <c r="B16" s="59" t="n">
        <v>0.03</v>
      </c>
      <c r="C16" s="43" t="s">
        <v>201</v>
      </c>
      <c r="D16" s="44" t="s">
        <v>253</v>
      </c>
    </row>
    <row r="17" customFormat="false" ht="16.5" hidden="false" customHeight="true" outlineLevel="0" collapsed="false">
      <c r="A17" s="8" t="s">
        <v>269</v>
      </c>
      <c r="B17" s="8"/>
      <c r="C17" s="8"/>
      <c r="D17" s="8"/>
    </row>
    <row r="18" customFormat="false" ht="15" hidden="false" customHeight="true" outlineLevel="0" collapsed="false">
      <c r="A18" s="10" t="s">
        <v>270</v>
      </c>
      <c r="B18" s="42" t="n">
        <v>90274</v>
      </c>
      <c r="C18" s="43" t="s">
        <v>196</v>
      </c>
      <c r="D18" s="41" t="s">
        <v>271</v>
      </c>
    </row>
    <row r="19" customFormat="false" ht="15" hidden="false" customHeight="true" outlineLevel="0" collapsed="false">
      <c r="A19" s="10" t="s">
        <v>272</v>
      </c>
      <c r="B19" s="42" t="n">
        <v>50469</v>
      </c>
      <c r="C19" s="43" t="s">
        <v>196</v>
      </c>
      <c r="D19" s="41" t="s">
        <v>273</v>
      </c>
    </row>
    <row r="20" customFormat="false" ht="15" hidden="false" customHeight="true" outlineLevel="0" collapsed="false">
      <c r="A20" s="10" t="s">
        <v>274</v>
      </c>
      <c r="B20" s="60" t="n">
        <v>0.7257</v>
      </c>
      <c r="C20" s="40" t="s">
        <v>205</v>
      </c>
      <c r="D20" s="44" t="s">
        <v>275</v>
      </c>
    </row>
    <row r="21" customFormat="false" ht="15" hidden="false" customHeight="true" outlineLevel="0" collapsed="false">
      <c r="A21" s="10" t="s">
        <v>276</v>
      </c>
      <c r="B21" s="60" t="n">
        <v>0.6567</v>
      </c>
      <c r="C21" s="40" t="s">
        <v>205</v>
      </c>
      <c r="D21" s="44" t="s">
        <v>277</v>
      </c>
    </row>
    <row r="22" customFormat="false" ht="15" hidden="false" customHeight="true" outlineLevel="0" collapsed="false">
      <c r="A22" s="10" t="s">
        <v>278</v>
      </c>
      <c r="B22" s="60" t="n">
        <v>0.5591</v>
      </c>
      <c r="C22" s="40" t="s">
        <v>205</v>
      </c>
      <c r="D22" s="41" t="s">
        <v>279</v>
      </c>
    </row>
    <row r="23" customFormat="false" ht="15" hidden="false" customHeight="true" outlineLevel="0" collapsed="false">
      <c r="A23" s="50" t="s">
        <v>280</v>
      </c>
      <c r="B23" s="60" t="n">
        <v>0.6664</v>
      </c>
      <c r="C23" s="40" t="s">
        <v>205</v>
      </c>
      <c r="D23" s="41" t="s">
        <v>281</v>
      </c>
    </row>
    <row r="24" customFormat="false" ht="15" hidden="false" customHeight="true" outlineLevel="0" collapsed="false">
      <c r="A24" s="50" t="s">
        <v>282</v>
      </c>
      <c r="B24" s="60" t="n">
        <v>0.4738</v>
      </c>
      <c r="C24" s="40" t="s">
        <v>205</v>
      </c>
      <c r="D24" s="44" t="s">
        <v>253</v>
      </c>
    </row>
    <row r="25" customFormat="false" ht="15" hidden="false" customHeight="true" outlineLevel="0" collapsed="false">
      <c r="A25" s="8" t="s">
        <v>283</v>
      </c>
      <c r="B25" s="8"/>
      <c r="C25" s="8"/>
      <c r="D25" s="8"/>
    </row>
    <row r="26" customFormat="false" ht="15" hidden="false" customHeight="true" outlineLevel="0" collapsed="false">
      <c r="A26" s="10" t="s">
        <v>284</v>
      </c>
      <c r="B26" s="59" t="n">
        <v>0.06</v>
      </c>
      <c r="C26" s="43" t="s">
        <v>201</v>
      </c>
      <c r="D26" s="41" t="s">
        <v>285</v>
      </c>
    </row>
    <row r="27" customFormat="false" ht="15" hidden="false" customHeight="true" outlineLevel="0" collapsed="false">
      <c r="A27" s="10" t="s">
        <v>286</v>
      </c>
      <c r="B27" s="59" t="n">
        <v>3.42</v>
      </c>
      <c r="C27" s="43" t="s">
        <v>201</v>
      </c>
      <c r="D27" s="41" t="s">
        <v>287</v>
      </c>
    </row>
    <row r="28" customFormat="false" ht="15" hidden="false" customHeight="true" outlineLevel="0" collapsed="false">
      <c r="A28" s="10" t="s">
        <v>195</v>
      </c>
      <c r="B28" s="42" t="n">
        <v>23750</v>
      </c>
      <c r="C28" s="43" t="s">
        <v>196</v>
      </c>
      <c r="D28" s="41" t="s">
        <v>288</v>
      </c>
    </row>
    <row r="29" customFormat="false" ht="15" hidden="false" customHeight="true" outlineLevel="0" collapsed="false">
      <c r="A29" s="10" t="s">
        <v>289</v>
      </c>
      <c r="B29" s="42" t="n">
        <v>26172</v>
      </c>
      <c r="C29" s="43" t="s">
        <v>196</v>
      </c>
      <c r="D29" s="41" t="s">
        <v>290</v>
      </c>
    </row>
    <row r="30" customFormat="false" ht="15" hidden="false" customHeight="true" outlineLevel="0" collapsed="false">
      <c r="A30" s="8" t="s">
        <v>36</v>
      </c>
      <c r="B30" s="8"/>
      <c r="C30" s="8"/>
      <c r="D30" s="8"/>
    </row>
    <row r="31" customFormat="false" ht="15" hidden="false" customHeight="true" outlineLevel="0" collapsed="false">
      <c r="A31" s="10" t="s">
        <v>291</v>
      </c>
      <c r="B31" s="39" t="n">
        <v>1491.95</v>
      </c>
      <c r="C31" s="40" t="s">
        <v>188</v>
      </c>
      <c r="D31" s="44" t="s">
        <v>292</v>
      </c>
    </row>
    <row r="32" customFormat="false" ht="15" hidden="false" customHeight="true" outlineLevel="0" collapsed="false">
      <c r="A32" s="10" t="s">
        <v>293</v>
      </c>
      <c r="B32" s="49" t="n">
        <f aca="false">B31/B5-1</f>
        <v>1.01887686062246</v>
      </c>
      <c r="C32" s="40" t="s">
        <v>205</v>
      </c>
      <c r="D32" s="41" t="s">
        <v>294</v>
      </c>
    </row>
    <row r="33" customFormat="false" ht="15" hidden="false" customHeight="true" outlineLevel="0" collapsed="false">
      <c r="A33" s="10" t="s">
        <v>224</v>
      </c>
      <c r="B33" s="39" t="n">
        <v>154.67</v>
      </c>
      <c r="C33" s="40" t="s">
        <v>188</v>
      </c>
      <c r="D33" s="44" t="s">
        <v>295</v>
      </c>
    </row>
    <row r="35" customFormat="false" ht="13.5" hidden="false" customHeight="true" outlineLevel="0" collapsed="false">
      <c r="A35" s="13" t="s">
        <v>296</v>
      </c>
      <c r="B35" s="13"/>
      <c r="C35" s="13"/>
      <c r="D35" s="13"/>
    </row>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mergeCells count="7">
    <mergeCell ref="A1:D1"/>
    <mergeCell ref="A4:D4"/>
    <mergeCell ref="A10:D10"/>
    <mergeCell ref="A17:D17"/>
    <mergeCell ref="A25:D25"/>
    <mergeCell ref="A30:D30"/>
    <mergeCell ref="A35:D3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B3" activeCellId="0" sqref="B3"/>
    </sheetView>
  </sheetViews>
  <sheetFormatPr defaultColWidth="12.62890625" defaultRowHeight="15" customHeight="true" zeroHeight="false" outlineLevelRow="0" outlineLevelCol="0"/>
  <cols>
    <col collapsed="false" customWidth="true" hidden="false" outlineLevel="0" max="1" min="1" style="1" width="26"/>
    <col collapsed="false" customWidth="true" hidden="false" outlineLevel="0" max="8" min="2" style="1" width="13"/>
    <col collapsed="false" customWidth="true" hidden="false" outlineLevel="0" max="26" min="9" style="1" width="8.63"/>
  </cols>
  <sheetData>
    <row r="1" customFormat="false" ht="24" hidden="false" customHeight="true" outlineLevel="0" collapsed="false">
      <c r="A1" s="23" t="s">
        <v>297</v>
      </c>
      <c r="B1" s="23"/>
      <c r="C1" s="23"/>
      <c r="D1" s="23"/>
      <c r="E1" s="23"/>
      <c r="F1" s="23"/>
      <c r="G1" s="23"/>
      <c r="H1" s="23"/>
    </row>
    <row r="3" customFormat="false" ht="16.5" hidden="false" customHeight="true" outlineLevel="0" collapsed="false">
      <c r="A3" s="8" t="s">
        <v>298</v>
      </c>
      <c r="B3" s="8"/>
      <c r="C3" s="8"/>
      <c r="D3" s="8"/>
      <c r="E3" s="8"/>
      <c r="F3" s="8"/>
      <c r="G3" s="8"/>
      <c r="H3" s="8"/>
    </row>
    <row r="4" customFormat="false" ht="15" hidden="false" customHeight="true" outlineLevel="0" collapsed="false">
      <c r="A4" s="61" t="s">
        <v>182</v>
      </c>
      <c r="B4" s="62" t="s">
        <v>299</v>
      </c>
      <c r="C4" s="62" t="s">
        <v>300</v>
      </c>
      <c r="D4" s="62" t="s">
        <v>301</v>
      </c>
      <c r="E4" s="62" t="s">
        <v>302</v>
      </c>
      <c r="F4" s="62" t="s">
        <v>303</v>
      </c>
      <c r="G4" s="62" t="s">
        <v>304</v>
      </c>
      <c r="H4" s="62" t="s">
        <v>305</v>
      </c>
    </row>
    <row r="5" customFormat="false" ht="15" hidden="false" customHeight="true" outlineLevel="0" collapsed="false">
      <c r="A5" s="63" t="s">
        <v>270</v>
      </c>
      <c r="B5" s="42" t="n">
        <v>27705</v>
      </c>
      <c r="C5" s="42" t="n">
        <v>30758</v>
      </c>
      <c r="D5" s="42" t="n">
        <v>15540</v>
      </c>
      <c r="E5" s="42" t="n">
        <v>25111</v>
      </c>
      <c r="F5" s="42" t="n">
        <v>37378</v>
      </c>
      <c r="G5" s="64" t="n">
        <v>90274</v>
      </c>
      <c r="H5" s="65" t="n">
        <f aca="false">AVERAGE(B5:F5)</f>
        <v>27298.4</v>
      </c>
    </row>
    <row r="6" customFormat="false" ht="15" hidden="false" customHeight="true" outlineLevel="0" collapsed="false">
      <c r="A6" s="63" t="s">
        <v>272</v>
      </c>
      <c r="B6" s="42" t="n">
        <v>5861</v>
      </c>
      <c r="C6" s="42" t="n">
        <v>8687</v>
      </c>
      <c r="D6" s="42" t="n">
        <v>-5833</v>
      </c>
      <c r="E6" s="42" t="n">
        <v>778</v>
      </c>
      <c r="F6" s="42" t="n">
        <v>8539</v>
      </c>
      <c r="G6" s="64" t="n">
        <v>50469</v>
      </c>
      <c r="H6" s="65" t="n">
        <f aca="false">AVERAGE(B6:F6)</f>
        <v>3606.4</v>
      </c>
    </row>
    <row r="7" customFormat="false" ht="15" hidden="false" customHeight="true" outlineLevel="0" collapsed="false">
      <c r="A7" s="66" t="s">
        <v>306</v>
      </c>
      <c r="B7" s="39" t="n">
        <v>5.14</v>
      </c>
      <c r="C7" s="39" t="n">
        <v>7.75</v>
      </c>
      <c r="D7" s="39" t="n">
        <v>-5.34</v>
      </c>
      <c r="E7" s="39" t="n">
        <v>0.7</v>
      </c>
      <c r="F7" s="39" t="n">
        <v>7.59</v>
      </c>
      <c r="G7" s="67" t="n">
        <v>44.17</v>
      </c>
      <c r="H7" s="68" t="n">
        <f aca="false">AVERAGE(B7:F7)</f>
        <v>3.168</v>
      </c>
    </row>
    <row r="8" customFormat="false" ht="15" hidden="false" customHeight="true" outlineLevel="0" collapsed="false">
      <c r="A8" s="63" t="s">
        <v>274</v>
      </c>
      <c r="B8" s="60" t="n">
        <v>0.3762</v>
      </c>
      <c r="C8" s="60" t="n">
        <v>0.4518</v>
      </c>
      <c r="D8" s="60" t="n">
        <v>-0.0911</v>
      </c>
      <c r="E8" s="60" t="n">
        <v>0.2235</v>
      </c>
      <c r="F8" s="60" t="n">
        <v>0.3979</v>
      </c>
      <c r="G8" s="69" t="n">
        <v>0.7257</v>
      </c>
      <c r="H8" s="70" t="n">
        <f aca="false">AVERAGE(B8:F8)</f>
        <v>0.27166</v>
      </c>
    </row>
    <row r="9" customFormat="false" ht="15" hidden="false" customHeight="true" outlineLevel="0" collapsed="false">
      <c r="A9" s="63" t="s">
        <v>276</v>
      </c>
      <c r="B9" s="60" t="n">
        <v>0.2268</v>
      </c>
      <c r="C9" s="60" t="n">
        <v>0.3154</v>
      </c>
      <c r="D9" s="60" t="n">
        <v>-0.3697</v>
      </c>
      <c r="E9" s="60" t="n">
        <v>0.0519</v>
      </c>
      <c r="F9" s="60" t="n">
        <v>0.2614</v>
      </c>
      <c r="G9" s="69" t="n">
        <v>0.6563</v>
      </c>
      <c r="H9" s="70" t="n">
        <f aca="false">AVERAGE(B9:F9)</f>
        <v>0.09716</v>
      </c>
    </row>
    <row r="10" customFormat="false" ht="15" hidden="false" customHeight="true" outlineLevel="0" collapsed="false">
      <c r="A10" s="63" t="s">
        <v>278</v>
      </c>
      <c r="B10" s="60" t="n">
        <v>0.2102</v>
      </c>
      <c r="C10" s="60" t="n">
        <v>0.2823</v>
      </c>
      <c r="D10" s="60" t="n">
        <v>-0.3755</v>
      </c>
      <c r="E10" s="60" t="n">
        <v>0.0314</v>
      </c>
      <c r="F10" s="60" t="n">
        <v>0.2282</v>
      </c>
      <c r="G10" s="69" t="n">
        <v>0.5589</v>
      </c>
      <c r="H10" s="70" t="n">
        <f aca="false">AVERAGE(B10:F10)</f>
        <v>0.07532</v>
      </c>
    </row>
    <row r="11" customFormat="false" ht="15" hidden="false" customHeight="true" outlineLevel="0" collapsed="false">
      <c r="A11" s="66" t="s">
        <v>280</v>
      </c>
      <c r="B11" s="60" t="n">
        <v>0.1405</v>
      </c>
      <c r="C11" s="60" t="n">
        <v>0.1851</v>
      </c>
      <c r="D11" s="60" t="n">
        <v>-0.1241</v>
      </c>
      <c r="E11" s="60" t="n">
        <v>0.0177</v>
      </c>
      <c r="F11" s="60" t="n">
        <v>0.1718</v>
      </c>
      <c r="G11" s="69" t="n">
        <v>0.6326</v>
      </c>
      <c r="H11" s="70" t="n">
        <f aca="false">AVERAGE(B11:F11)</f>
        <v>0.0782</v>
      </c>
    </row>
    <row r="13" customFormat="false" ht="16.5" hidden="false" customHeight="true" outlineLevel="0" collapsed="false">
      <c r="A13" s="8" t="s">
        <v>307</v>
      </c>
      <c r="B13" s="8"/>
      <c r="C13" s="8"/>
      <c r="D13" s="8"/>
      <c r="E13" s="8"/>
      <c r="F13" s="8"/>
      <c r="G13" s="8"/>
      <c r="H13" s="8"/>
    </row>
    <row r="14" customFormat="false" ht="15" hidden="false" customHeight="true" outlineLevel="0" collapsed="false">
      <c r="A14" s="61" t="s">
        <v>182</v>
      </c>
      <c r="B14" s="62" t="s">
        <v>299</v>
      </c>
      <c r="C14" s="62" t="s">
        <v>300</v>
      </c>
      <c r="D14" s="62" t="s">
        <v>301</v>
      </c>
      <c r="E14" s="62" t="s">
        <v>302</v>
      </c>
      <c r="F14" s="62" t="s">
        <v>303</v>
      </c>
      <c r="G14" s="62" t="s">
        <v>304</v>
      </c>
      <c r="H14" s="62" t="s">
        <v>305</v>
      </c>
    </row>
    <row r="15" customFormat="false" ht="15" hidden="false" customHeight="true" outlineLevel="0" collapsed="false">
      <c r="A15" s="63" t="s">
        <v>308</v>
      </c>
      <c r="B15" s="71" t="n">
        <v>73.99</v>
      </c>
      <c r="C15" s="71" t="n">
        <v>57.31</v>
      </c>
      <c r="D15" s="71" t="n">
        <v>69.94</v>
      </c>
      <c r="E15" s="71" t="n">
        <v>95.57</v>
      </c>
      <c r="F15" s="71" t="n">
        <v>122</v>
      </c>
      <c r="G15" s="72" t="n">
        <v>838.05</v>
      </c>
      <c r="H15" s="68" t="n">
        <f aca="false">AVERAGE(B15:F15)</f>
        <v>83.762</v>
      </c>
    </row>
    <row r="16" customFormat="false" ht="15" hidden="false" customHeight="true" outlineLevel="0" collapsed="false">
      <c r="A16" s="66" t="s">
        <v>262</v>
      </c>
      <c r="B16" s="73" t="n">
        <v>1.88</v>
      </c>
      <c r="C16" s="73" t="n">
        <v>1.26</v>
      </c>
      <c r="D16" s="73" t="n">
        <v>1.74</v>
      </c>
      <c r="E16" s="73" t="n">
        <v>2.35</v>
      </c>
      <c r="F16" s="73" t="n">
        <v>2.53</v>
      </c>
      <c r="G16" s="74" t="n">
        <v>9.39</v>
      </c>
      <c r="H16" s="75" t="n">
        <f aca="false">AVERAGE(B16:F16)</f>
        <v>1.952</v>
      </c>
    </row>
    <row r="17" customFormat="false" ht="15" hidden="false" customHeight="true" outlineLevel="0" collapsed="false">
      <c r="A17" s="66" t="s">
        <v>264</v>
      </c>
      <c r="B17" s="73" t="n">
        <v>2.99</v>
      </c>
      <c r="C17" s="73" t="n">
        <v>2.04</v>
      </c>
      <c r="D17" s="73" t="n">
        <v>4.94</v>
      </c>
      <c r="E17" s="73" t="n">
        <v>4.22</v>
      </c>
      <c r="F17" s="73" t="n">
        <v>3.66</v>
      </c>
      <c r="G17" s="74" t="n">
        <v>10.48</v>
      </c>
      <c r="H17" s="75" t="n">
        <f aca="false">AVERAGE(B17:F17)</f>
        <v>3.57</v>
      </c>
    </row>
    <row r="18" customFormat="false" ht="15" hidden="false" customHeight="true" outlineLevel="0" collapsed="false">
      <c r="A18" s="66" t="s">
        <v>309</v>
      </c>
      <c r="B18" s="73" t="n">
        <v>14.39</v>
      </c>
      <c r="C18" s="73" t="n">
        <v>7.39</v>
      </c>
      <c r="D18" s="76" t="s">
        <v>310</v>
      </c>
      <c r="E18" s="73" t="n">
        <v>136.53</v>
      </c>
      <c r="F18" s="73" t="n">
        <v>16.07</v>
      </c>
      <c r="G18" s="74" t="n">
        <v>18.97</v>
      </c>
      <c r="H18" s="75" t="n">
        <f aca="false">AVERAGE(B18:F18)</f>
        <v>43.595</v>
      </c>
    </row>
    <row r="19" customFormat="false" ht="15" hidden="false" customHeight="true" outlineLevel="0" collapsed="false">
      <c r="A19" s="66" t="s">
        <v>266</v>
      </c>
      <c r="B19" s="73" t="n">
        <v>6.52</v>
      </c>
      <c r="C19" s="73" t="n">
        <v>3.62</v>
      </c>
      <c r="D19" s="73" t="n">
        <v>40.34</v>
      </c>
      <c r="E19" s="73" t="n">
        <v>12.32</v>
      </c>
      <c r="F19" s="73" t="n">
        <v>7.83</v>
      </c>
      <c r="G19" s="74" t="n">
        <v>13.56</v>
      </c>
      <c r="H19" s="75" t="n">
        <f aca="false">AVERAGE(B19:F19)</f>
        <v>14.126</v>
      </c>
    </row>
    <row r="20" customFormat="false" ht="13.5" hidden="false" customHeight="true" outlineLevel="0" collapsed="false">
      <c r="A20" s="57" t="s">
        <v>311</v>
      </c>
      <c r="B20" s="57"/>
      <c r="C20" s="57"/>
      <c r="D20" s="57"/>
      <c r="E20" s="57"/>
      <c r="F20" s="57"/>
      <c r="G20" s="57"/>
      <c r="H20" s="57"/>
    </row>
    <row r="21" customFormat="false" ht="16.5" hidden="false" customHeight="true" outlineLevel="0" collapsed="false">
      <c r="A21" s="77" t="s">
        <v>312</v>
      </c>
      <c r="B21" s="77"/>
      <c r="C21" s="77"/>
      <c r="D21" s="77"/>
      <c r="E21" s="77"/>
      <c r="F21" s="77"/>
      <c r="G21" s="77"/>
      <c r="H21" s="77"/>
    </row>
    <row r="22" customFormat="false" ht="16.5" hidden="false" customHeight="true" outlineLevel="0" collapsed="false">
      <c r="A22" s="14" t="s">
        <v>313</v>
      </c>
      <c r="B22" s="14"/>
      <c r="C22" s="14"/>
      <c r="D22" s="14"/>
      <c r="E22" s="14"/>
      <c r="F22" s="14"/>
      <c r="G22" s="14"/>
      <c r="H22" s="14"/>
    </row>
    <row r="24" customFormat="false" ht="16.5" hidden="false" customHeight="true" outlineLevel="0" collapsed="false">
      <c r="A24" s="8" t="s">
        <v>314</v>
      </c>
      <c r="B24" s="8"/>
      <c r="C24" s="8"/>
      <c r="D24" s="8"/>
      <c r="E24" s="8"/>
      <c r="F24" s="8"/>
      <c r="G24" s="8"/>
      <c r="H24" s="8"/>
    </row>
    <row r="25" customFormat="false" ht="15" hidden="false" customHeight="true" outlineLevel="0" collapsed="false">
      <c r="A25" s="38" t="s">
        <v>315</v>
      </c>
      <c r="B25" s="38" t="s">
        <v>316</v>
      </c>
      <c r="C25" s="38" t="s">
        <v>248</v>
      </c>
    </row>
    <row r="26" customFormat="false" ht="15" hidden="false" customHeight="true" outlineLevel="0" collapsed="false">
      <c r="A26" s="50" t="s">
        <v>317</v>
      </c>
      <c r="B26" s="60" t="n">
        <v>-0.9</v>
      </c>
      <c r="C26" s="41" t="s">
        <v>318</v>
      </c>
      <c r="D26" s="41"/>
      <c r="E26" s="41"/>
      <c r="F26" s="41"/>
      <c r="G26" s="41"/>
      <c r="H26" s="41"/>
    </row>
    <row r="27" customFormat="false" ht="15" hidden="false" customHeight="true" outlineLevel="0" collapsed="false">
      <c r="A27" s="50" t="s">
        <v>319</v>
      </c>
      <c r="B27" s="60" t="n">
        <v>-0.98</v>
      </c>
      <c r="C27" s="41" t="s">
        <v>320</v>
      </c>
      <c r="D27" s="41"/>
      <c r="E27" s="41"/>
      <c r="F27" s="41"/>
      <c r="G27" s="41"/>
      <c r="H27" s="41"/>
    </row>
    <row r="28" customFormat="false" ht="15" hidden="false" customHeight="true" outlineLevel="0" collapsed="false">
      <c r="A28" s="50" t="s">
        <v>321</v>
      </c>
      <c r="B28" s="60" t="n">
        <v>-0.73</v>
      </c>
      <c r="C28" s="41" t="s">
        <v>322</v>
      </c>
      <c r="D28" s="41"/>
      <c r="E28" s="41"/>
      <c r="F28" s="41"/>
      <c r="G28" s="41"/>
      <c r="H28" s="41"/>
    </row>
    <row r="29" customFormat="false" ht="15" hidden="false" customHeight="true" outlineLevel="0" collapsed="false">
      <c r="A29" s="50" t="s">
        <v>323</v>
      </c>
      <c r="B29" s="60" t="n">
        <v>-0.57</v>
      </c>
      <c r="C29" s="41" t="s">
        <v>324</v>
      </c>
      <c r="D29" s="41"/>
      <c r="E29" s="41"/>
      <c r="F29" s="41"/>
      <c r="G29" s="41"/>
      <c r="H29" s="41"/>
    </row>
    <row r="30" customFormat="false" ht="15" hidden="false" customHeight="true" outlineLevel="0" collapsed="false">
      <c r="A30" s="50" t="s">
        <v>325</v>
      </c>
      <c r="B30" s="60" t="n">
        <v>-0.51</v>
      </c>
      <c r="C30" s="41" t="s">
        <v>326</v>
      </c>
      <c r="D30" s="41"/>
      <c r="E30" s="41"/>
      <c r="F30" s="41"/>
      <c r="G30" s="41"/>
      <c r="H30" s="41"/>
    </row>
    <row r="31" customFormat="false" ht="15" hidden="false" customHeight="true" outlineLevel="0" collapsed="false">
      <c r="A31" s="50" t="s">
        <v>327</v>
      </c>
      <c r="B31" s="60" t="n">
        <v>-0.6</v>
      </c>
      <c r="C31" s="44" t="s">
        <v>328</v>
      </c>
      <c r="D31" s="44"/>
      <c r="E31" s="44"/>
      <c r="F31" s="44"/>
      <c r="G31" s="44"/>
      <c r="H31" s="44"/>
    </row>
    <row r="32" customFormat="false" ht="15" hidden="false" customHeight="true" outlineLevel="0" collapsed="false">
      <c r="A32" s="66" t="s">
        <v>329</v>
      </c>
      <c r="B32" s="69" t="n">
        <v>-0.33</v>
      </c>
      <c r="C32" s="41" t="s">
        <v>330</v>
      </c>
      <c r="D32" s="41"/>
      <c r="E32" s="41"/>
      <c r="F32" s="41"/>
      <c r="G32" s="41"/>
      <c r="H32" s="41"/>
    </row>
    <row r="34" customFormat="false" ht="13.5" hidden="false" customHeight="true" outlineLevel="0" collapsed="false">
      <c r="A34" s="13" t="s">
        <v>331</v>
      </c>
      <c r="B34" s="13"/>
      <c r="C34" s="13"/>
      <c r="D34" s="13"/>
      <c r="E34" s="13"/>
      <c r="F34" s="13"/>
      <c r="G34" s="13"/>
      <c r="H34" s="13"/>
    </row>
    <row r="35" customFormat="false" ht="13.5" hidden="false" customHeight="true" outlineLevel="0" collapsed="false">
      <c r="A35" s="13" t="s">
        <v>332</v>
      </c>
      <c r="B35" s="13"/>
      <c r="C35" s="13"/>
      <c r="D35" s="13"/>
      <c r="E35" s="13"/>
      <c r="F35" s="13"/>
      <c r="G35" s="13"/>
      <c r="H35" s="13"/>
    </row>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mergeCells count="16">
    <mergeCell ref="A1:H1"/>
    <mergeCell ref="A3:H3"/>
    <mergeCell ref="A13:H13"/>
    <mergeCell ref="A20:H20"/>
    <mergeCell ref="A21:H21"/>
    <mergeCell ref="A22:H22"/>
    <mergeCell ref="A24:H24"/>
    <mergeCell ref="C26:H26"/>
    <mergeCell ref="C27:H27"/>
    <mergeCell ref="C28:H28"/>
    <mergeCell ref="C29:H29"/>
    <mergeCell ref="C30:H30"/>
    <mergeCell ref="C31:H31"/>
    <mergeCell ref="C32:H32"/>
    <mergeCell ref="A34:H34"/>
    <mergeCell ref="A35:H3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B3" activeCellId="0" sqref="B3"/>
    </sheetView>
  </sheetViews>
  <sheetFormatPr defaultColWidth="12.62890625" defaultRowHeight="15" customHeight="true" zeroHeight="false" outlineLevelRow="0" outlineLevelCol="0"/>
  <cols>
    <col collapsed="false" customWidth="true" hidden="false" outlineLevel="0" max="1" min="1" style="1" width="30"/>
    <col collapsed="false" customWidth="true" hidden="false" outlineLevel="0" max="9" min="2" style="1" width="13"/>
    <col collapsed="false" customWidth="true" hidden="false" outlineLevel="0" max="26" min="10" style="1" width="8.63"/>
  </cols>
  <sheetData>
    <row r="1" customFormat="false" ht="24" hidden="false" customHeight="true" outlineLevel="0" collapsed="false">
      <c r="A1" s="2" t="s">
        <v>333</v>
      </c>
      <c r="B1" s="2"/>
      <c r="C1" s="2"/>
      <c r="D1" s="2"/>
      <c r="E1" s="2"/>
      <c r="F1" s="2"/>
      <c r="G1" s="2"/>
      <c r="H1" s="2"/>
      <c r="I1" s="2"/>
    </row>
    <row r="3" customFormat="false" ht="16.5" hidden="false" customHeight="true" outlineLevel="0" collapsed="false">
      <c r="A3" s="8" t="s">
        <v>334</v>
      </c>
      <c r="B3" s="8"/>
      <c r="C3" s="8"/>
      <c r="D3" s="8"/>
      <c r="E3" s="8"/>
    </row>
    <row r="4" customFormat="false" ht="15" hidden="false" customHeight="true" outlineLevel="0" collapsed="false">
      <c r="A4" s="63" t="s">
        <v>187</v>
      </c>
      <c r="B4" s="53" t="n">
        <f aca="false">Assumptions!B5</f>
        <v>900</v>
      </c>
    </row>
    <row r="5" customFormat="false" ht="15" hidden="false" customHeight="true" outlineLevel="0" collapsed="false">
      <c r="A5" s="63" t="s">
        <v>335</v>
      </c>
      <c r="B5" s="53" t="n">
        <f aca="false">Assumptions!B34</f>
        <v>437.94</v>
      </c>
    </row>
    <row r="6" customFormat="false" ht="15" hidden="false" customHeight="true" outlineLevel="0" collapsed="false">
      <c r="A6" s="66" t="s">
        <v>336</v>
      </c>
      <c r="B6" s="78" t="str">
        <f aca="false">IF(Assumptions!B33=3,"FY2028 consensus BPS",IF(Assumptions!B33=2,"BVPS one year forward","Current BVPS (TTM)"))</f>
        <v>FY2028 consensus BPS</v>
      </c>
    </row>
    <row r="7" customFormat="false" ht="15" hidden="false" customHeight="true" outlineLevel="0" collapsed="false">
      <c r="A7" s="63" t="s">
        <v>212</v>
      </c>
      <c r="B7" s="79" t="n">
        <f aca="false">Assumptions!B16</f>
        <v>0.15</v>
      </c>
    </row>
    <row r="8" customFormat="false" ht="15" hidden="false" customHeight="true" outlineLevel="0" collapsed="false">
      <c r="A8" s="63" t="s">
        <v>337</v>
      </c>
      <c r="B8" s="79" t="n">
        <f aca="false">Assumptions!B28</f>
        <v>0.3</v>
      </c>
    </row>
    <row r="9" customFormat="false" ht="15" hidden="false" customHeight="true" outlineLevel="0" collapsed="false">
      <c r="A9" s="63" t="s">
        <v>338</v>
      </c>
      <c r="B9" s="79" t="n">
        <f aca="false">Assumptions!B29</f>
        <v>0.05</v>
      </c>
    </row>
    <row r="11" customFormat="false" ht="15" hidden="false" customHeight="true" outlineLevel="0" collapsed="false">
      <c r="A11" s="8" t="s">
        <v>339</v>
      </c>
      <c r="B11" s="8"/>
      <c r="C11" s="8"/>
      <c r="D11" s="8"/>
      <c r="E11" s="8"/>
    </row>
    <row r="12" customFormat="false" ht="15" hidden="false" customHeight="true" outlineLevel="0" collapsed="false">
      <c r="A12" s="63" t="s">
        <v>340</v>
      </c>
      <c r="B12" s="80" t="n">
        <f aca="false">IF(B7&lt;=B9,"Error: g &gt;= COE",(B8-B9)/(B7-B9))</f>
        <v>2.5</v>
      </c>
    </row>
    <row r="13" customFormat="false" ht="15" hidden="false" customHeight="true" outlineLevel="0" collapsed="false">
      <c r="A13" s="63" t="s">
        <v>341</v>
      </c>
      <c r="B13" s="81" t="n">
        <f aca="false">IF(B7&lt;=B9,"n/a",B12*B5)</f>
        <v>1094.85</v>
      </c>
    </row>
    <row r="14" customFormat="false" ht="15" hidden="false" customHeight="true" outlineLevel="0" collapsed="false">
      <c r="A14" s="63" t="s">
        <v>342</v>
      </c>
      <c r="B14" s="82" t="n">
        <f aca="false">IF(B7&lt;=B9,"n/a",B13/B4-1)</f>
        <v>0.2165</v>
      </c>
    </row>
    <row r="16" customFormat="false" ht="16.5" hidden="false" customHeight="true" outlineLevel="0" collapsed="false">
      <c r="A16" s="8" t="s">
        <v>343</v>
      </c>
      <c r="B16" s="8"/>
      <c r="C16" s="8"/>
      <c r="D16" s="8"/>
      <c r="E16" s="8"/>
      <c r="F16" s="8"/>
      <c r="G16" s="8"/>
      <c r="H16" s="8"/>
      <c r="I16" s="8"/>
    </row>
    <row r="17" customFormat="false" ht="15" hidden="false" customHeight="true" outlineLevel="0" collapsed="false">
      <c r="A17" s="83" t="s">
        <v>344</v>
      </c>
      <c r="B17" s="84" t="n">
        <v>0.03</v>
      </c>
      <c r="C17" s="84" t="n">
        <v>0.04</v>
      </c>
      <c r="D17" s="84" t="n">
        <v>0.05</v>
      </c>
      <c r="E17" s="84" t="n">
        <v>0.06</v>
      </c>
      <c r="F17" s="84" t="n">
        <v>0.07</v>
      </c>
      <c r="G17" s="84" t="n">
        <v>0.08</v>
      </c>
    </row>
    <row r="18" customFormat="false" ht="15" hidden="false" customHeight="true" outlineLevel="0" collapsed="false">
      <c r="A18" s="84" t="n">
        <v>0.1</v>
      </c>
      <c r="B18" s="85" t="n">
        <f aca="false">IF($B$7&lt;=B$17,"n/a",($A18-B$17)/($B$7-B$17)*$B$5)</f>
        <v>255.465</v>
      </c>
      <c r="C18" s="85" t="n">
        <f aca="false">IF($B$7&lt;=C$17,"n/a",($A18-C$17)/($B$7-C$17)*$B$5)</f>
        <v>238.876363636364</v>
      </c>
      <c r="D18" s="85" t="n">
        <f aca="false">IF($B$7&lt;=D$17,"n/a",($A18-D$17)/($B$7-D$17)*$B$5)</f>
        <v>218.97</v>
      </c>
      <c r="E18" s="85" t="n">
        <f aca="false">IF($B$7&lt;=E$17,"n/a",($A18-E$17)/($B$7-E$17)*$B$5)</f>
        <v>194.64</v>
      </c>
      <c r="F18" s="85" t="n">
        <f aca="false">IF($B$7&lt;=F$17,"n/a",($A18-F$17)/($B$7-F$17)*$B$5)</f>
        <v>164.2275</v>
      </c>
      <c r="G18" s="85" t="n">
        <f aca="false">IF($B$7&lt;=G$17,"n/a",($A18-G$17)/($B$7-G$17)*$B$5)</f>
        <v>125.125714285714</v>
      </c>
    </row>
    <row r="19" customFormat="false" ht="15" hidden="false" customHeight="true" outlineLevel="0" collapsed="false">
      <c r="A19" s="84" t="n">
        <v>0.15</v>
      </c>
      <c r="B19" s="85" t="n">
        <f aca="false">IF($B$7&lt;=B$17,"n/a",($A19-B$17)/($B$7-B$17)*$B$5)</f>
        <v>437.94</v>
      </c>
      <c r="C19" s="85" t="n">
        <f aca="false">IF($B$7&lt;=C$17,"n/a",($A19-C$17)/($B$7-C$17)*$B$5)</f>
        <v>437.94</v>
      </c>
      <c r="D19" s="85" t="n">
        <f aca="false">IF($B$7&lt;=D$17,"n/a",($A19-D$17)/($B$7-D$17)*$B$5)</f>
        <v>437.94</v>
      </c>
      <c r="E19" s="85" t="n">
        <f aca="false">IF($B$7&lt;=E$17,"n/a",($A19-E$17)/($B$7-E$17)*$B$5)</f>
        <v>437.94</v>
      </c>
      <c r="F19" s="85" t="n">
        <f aca="false">IF($B$7&lt;=F$17,"n/a",($A19-F$17)/($B$7-F$17)*$B$5)</f>
        <v>437.94</v>
      </c>
      <c r="G19" s="85" t="n">
        <f aca="false">IF($B$7&lt;=G$17,"n/a",($A19-G$17)/($B$7-G$17)*$B$5)</f>
        <v>437.94</v>
      </c>
    </row>
    <row r="20" customFormat="false" ht="15" hidden="false" customHeight="true" outlineLevel="0" collapsed="false">
      <c r="A20" s="84" t="n">
        <v>0.2</v>
      </c>
      <c r="B20" s="85" t="n">
        <f aca="false">IF($B$7&lt;=B$17,"n/a",($A20-B$17)/($B$7-B$17)*$B$5)</f>
        <v>620.415</v>
      </c>
      <c r="C20" s="85" t="n">
        <f aca="false">IF($B$7&lt;=C$17,"n/a",($A20-C$17)/($B$7-C$17)*$B$5)</f>
        <v>637.003636363636</v>
      </c>
      <c r="D20" s="85" t="n">
        <f aca="false">IF($B$7&lt;=D$17,"n/a",($A20-D$17)/($B$7-D$17)*$B$5)</f>
        <v>656.91</v>
      </c>
      <c r="E20" s="85" t="n">
        <f aca="false">IF($B$7&lt;=E$17,"n/a",($A20-E$17)/($B$7-E$17)*$B$5)</f>
        <v>681.24</v>
      </c>
      <c r="F20" s="85" t="n">
        <f aca="false">IF($B$7&lt;=F$17,"n/a",($A20-F$17)/($B$7-F$17)*$B$5)</f>
        <v>711.6525</v>
      </c>
      <c r="G20" s="85" t="n">
        <f aca="false">IF($B$7&lt;=G$17,"n/a",($A20-G$17)/($B$7-G$17)*$B$5)</f>
        <v>750.754285714286</v>
      </c>
    </row>
    <row r="21" customFormat="false" ht="15" hidden="false" customHeight="true" outlineLevel="0" collapsed="false">
      <c r="A21" s="84" t="n">
        <v>0.25</v>
      </c>
      <c r="B21" s="85" t="n">
        <f aca="false">IF($B$7&lt;=B$17,"n/a",($A21-B$17)/($B$7-B$17)*$B$5)</f>
        <v>802.89</v>
      </c>
      <c r="C21" s="85" t="n">
        <f aca="false">IF($B$7&lt;=C$17,"n/a",($A21-C$17)/($B$7-C$17)*$B$5)</f>
        <v>836.067272727273</v>
      </c>
      <c r="D21" s="85" t="n">
        <f aca="false">IF($B$7&lt;=D$17,"n/a",($A21-D$17)/($B$7-D$17)*$B$5)</f>
        <v>875.88</v>
      </c>
      <c r="E21" s="85" t="n">
        <f aca="false">IF($B$7&lt;=E$17,"n/a",($A21-E$17)/($B$7-E$17)*$B$5)</f>
        <v>924.54</v>
      </c>
      <c r="F21" s="85" t="n">
        <f aca="false">IF($B$7&lt;=F$17,"n/a",($A21-F$17)/($B$7-F$17)*$B$5)</f>
        <v>985.365</v>
      </c>
      <c r="G21" s="85" t="n">
        <f aca="false">IF($B$7&lt;=G$17,"n/a",($A21-G$17)/($B$7-G$17)*$B$5)</f>
        <v>1063.56857142857</v>
      </c>
    </row>
    <row r="22" customFormat="false" ht="15" hidden="false" customHeight="true" outlineLevel="0" collapsed="false">
      <c r="A22" s="84" t="n">
        <v>0.3</v>
      </c>
      <c r="B22" s="85" t="n">
        <f aca="false">IF($B$7&lt;=B$17,"n/a",($A22-B$17)/($B$7-B$17)*$B$5)</f>
        <v>985.365</v>
      </c>
      <c r="C22" s="85" t="n">
        <f aca="false">IF($B$7&lt;=C$17,"n/a",($A22-C$17)/($B$7-C$17)*$B$5)</f>
        <v>1035.13090909091</v>
      </c>
      <c r="D22" s="85" t="n">
        <f aca="false">IF($B$7&lt;=D$17,"n/a",($A22-D$17)/($B$7-D$17)*$B$5)</f>
        <v>1094.85</v>
      </c>
      <c r="E22" s="85" t="n">
        <f aca="false">IF($B$7&lt;=E$17,"n/a",($A22-E$17)/($B$7-E$17)*$B$5)</f>
        <v>1167.84</v>
      </c>
      <c r="F22" s="85" t="n">
        <f aca="false">IF($B$7&lt;=F$17,"n/a",($A22-F$17)/($B$7-F$17)*$B$5)</f>
        <v>1259.0775</v>
      </c>
      <c r="G22" s="85" t="n">
        <f aca="false">IF($B$7&lt;=G$17,"n/a",($A22-G$17)/($B$7-G$17)*$B$5)</f>
        <v>1376.38285714286</v>
      </c>
    </row>
    <row r="23" customFormat="false" ht="15" hidden="false" customHeight="true" outlineLevel="0" collapsed="false">
      <c r="A23" s="84" t="n">
        <v>0.4</v>
      </c>
      <c r="B23" s="85" t="n">
        <f aca="false">IF($B$7&lt;=B$17,"n/a",($A23-B$17)/($B$7-B$17)*$B$5)</f>
        <v>1350.315</v>
      </c>
      <c r="C23" s="85" t="n">
        <f aca="false">IF($B$7&lt;=C$17,"n/a",($A23-C$17)/($B$7-C$17)*$B$5)</f>
        <v>1433.25818181818</v>
      </c>
      <c r="D23" s="85" t="n">
        <f aca="false">IF($B$7&lt;=D$17,"n/a",($A23-D$17)/($B$7-D$17)*$B$5)</f>
        <v>1532.79</v>
      </c>
      <c r="E23" s="85" t="n">
        <f aca="false">IF($B$7&lt;=E$17,"n/a",($A23-E$17)/($B$7-E$17)*$B$5)</f>
        <v>1654.44</v>
      </c>
      <c r="F23" s="85" t="n">
        <f aca="false">IF($B$7&lt;=F$17,"n/a",($A23-F$17)/($B$7-F$17)*$B$5)</f>
        <v>1806.5025</v>
      </c>
      <c r="G23" s="85" t="n">
        <f aca="false">IF($B$7&lt;=G$17,"n/a",($A23-G$17)/($B$7-G$17)*$B$5)</f>
        <v>2002.01142857143</v>
      </c>
    </row>
    <row r="24" customFormat="false" ht="15" hidden="false" customHeight="true" outlineLevel="0" collapsed="false">
      <c r="A24" s="84" t="n">
        <v>0.5</v>
      </c>
      <c r="B24" s="85" t="n">
        <f aca="false">IF($B$7&lt;=B$17,"n/a",($A24-B$17)/($B$7-B$17)*$B$5)</f>
        <v>1715.265</v>
      </c>
      <c r="C24" s="85" t="n">
        <f aca="false">IF($B$7&lt;=C$17,"n/a",($A24-C$17)/($B$7-C$17)*$B$5)</f>
        <v>1831.38545454545</v>
      </c>
      <c r="D24" s="85" t="n">
        <f aca="false">IF($B$7&lt;=D$17,"n/a",($A24-D$17)/($B$7-D$17)*$B$5)</f>
        <v>1970.73</v>
      </c>
      <c r="E24" s="85" t="n">
        <f aca="false">IF($B$7&lt;=E$17,"n/a",($A24-E$17)/($B$7-E$17)*$B$5)</f>
        <v>2141.04</v>
      </c>
      <c r="F24" s="85" t="n">
        <f aca="false">IF($B$7&lt;=F$17,"n/a",($A24-F$17)/($B$7-F$17)*$B$5)</f>
        <v>2353.9275</v>
      </c>
      <c r="G24" s="85" t="n">
        <f aca="false">IF($B$7&lt;=G$17,"n/a",($A24-G$17)/($B$7-G$17)*$B$5)</f>
        <v>2627.64</v>
      </c>
    </row>
    <row r="25" customFormat="false" ht="15" hidden="false" customHeight="true" outlineLevel="0" collapsed="false">
      <c r="A25" s="84" t="n">
        <v>0.6</v>
      </c>
      <c r="B25" s="85" t="n">
        <f aca="false">IF($B$7&lt;=B$17,"n/a",($A25-B$17)/($B$7-B$17)*$B$5)</f>
        <v>2080.215</v>
      </c>
      <c r="C25" s="85" t="n">
        <f aca="false">IF($B$7&lt;=C$17,"n/a",($A25-C$17)/($B$7-C$17)*$B$5)</f>
        <v>2229.51272727273</v>
      </c>
      <c r="D25" s="85" t="n">
        <f aca="false">IF($B$7&lt;=D$17,"n/a",($A25-D$17)/($B$7-D$17)*$B$5)</f>
        <v>2408.67</v>
      </c>
      <c r="E25" s="85" t="n">
        <f aca="false">IF($B$7&lt;=E$17,"n/a",($A25-E$17)/($B$7-E$17)*$B$5)</f>
        <v>2627.64</v>
      </c>
      <c r="F25" s="85" t="n">
        <f aca="false">IF($B$7&lt;=F$17,"n/a",($A25-F$17)/($B$7-F$17)*$B$5)</f>
        <v>2901.3525</v>
      </c>
      <c r="G25" s="85" t="n">
        <f aca="false">IF($B$7&lt;=G$17,"n/a",($A25-G$17)/($B$7-G$17)*$B$5)</f>
        <v>3253.26857142857</v>
      </c>
    </row>
    <row r="26" customFormat="false" ht="15" hidden="false" customHeight="true" outlineLevel="0" collapsed="false">
      <c r="A26" s="84" t="n">
        <v>0.7</v>
      </c>
      <c r="B26" s="85" t="n">
        <f aca="false">IF($B$7&lt;=B$17,"n/a",($A26-B$17)/($B$7-B$17)*$B$5)</f>
        <v>2445.165</v>
      </c>
      <c r="C26" s="85" t="n">
        <f aca="false">IF($B$7&lt;=C$17,"n/a",($A26-C$17)/($B$7-C$17)*$B$5)</f>
        <v>2627.64</v>
      </c>
      <c r="D26" s="85" t="n">
        <f aca="false">IF($B$7&lt;=D$17,"n/a",($A26-D$17)/($B$7-D$17)*$B$5)</f>
        <v>2846.61</v>
      </c>
      <c r="E26" s="85" t="n">
        <f aca="false">IF($B$7&lt;=E$17,"n/a",($A26-E$17)/($B$7-E$17)*$B$5)</f>
        <v>3114.24</v>
      </c>
      <c r="F26" s="85" t="n">
        <f aca="false">IF($B$7&lt;=F$17,"n/a",($A26-F$17)/($B$7-F$17)*$B$5)</f>
        <v>3448.7775</v>
      </c>
      <c r="G26" s="85" t="n">
        <f aca="false">IF($B$7&lt;=G$17,"n/a",($A26-G$17)/($B$7-G$17)*$B$5)</f>
        <v>3878.89714285714</v>
      </c>
    </row>
    <row r="28" customFormat="false" ht="16.5" hidden="false" customHeight="true" outlineLevel="0" collapsed="false">
      <c r="A28" s="14" t="s">
        <v>345</v>
      </c>
      <c r="B28" s="14"/>
      <c r="C28" s="14"/>
      <c r="D28" s="14"/>
      <c r="E28" s="14"/>
      <c r="F28" s="14"/>
      <c r="G28" s="14"/>
      <c r="H28" s="14"/>
      <c r="I28" s="14"/>
    </row>
    <row r="30" customFormat="false" ht="16.5" hidden="false" customHeight="true" outlineLevel="0" collapsed="false">
      <c r="A30" s="8" t="s">
        <v>346</v>
      </c>
      <c r="B30" s="8"/>
      <c r="C30" s="8"/>
      <c r="D30" s="8"/>
      <c r="E30" s="8"/>
    </row>
    <row r="31" customFormat="false" ht="15" hidden="false" customHeight="true" outlineLevel="0" collapsed="false">
      <c r="A31" s="13" t="s">
        <v>347</v>
      </c>
      <c r="B31" s="13"/>
      <c r="C31" s="13"/>
      <c r="D31" s="13"/>
      <c r="E31" s="13"/>
    </row>
    <row r="32" customFormat="false" ht="15" hidden="false" customHeight="true" outlineLevel="0" collapsed="false">
      <c r="A32" s="38" t="s">
        <v>338</v>
      </c>
      <c r="B32" s="38" t="s">
        <v>348</v>
      </c>
      <c r="C32" s="38" t="s">
        <v>349</v>
      </c>
    </row>
    <row r="33" customFormat="false" ht="15" hidden="false" customHeight="true" outlineLevel="0" collapsed="false">
      <c r="A33" s="86" t="n">
        <v>0.03</v>
      </c>
      <c r="B33" s="82" t="n">
        <f aca="false">IF($B$7&lt;=A33,"n/a",($B$4/$B$5)*($B$7-A33)+A33)</f>
        <v>0.276609124537608</v>
      </c>
      <c r="C33" s="41" t="s">
        <v>350</v>
      </c>
      <c r="D33" s="41"/>
      <c r="E33" s="41"/>
    </row>
    <row r="34" customFormat="false" ht="15" hidden="false" customHeight="true" outlineLevel="0" collapsed="false">
      <c r="A34" s="86" t="n">
        <v>0.04</v>
      </c>
      <c r="B34" s="82" t="n">
        <f aca="false">IF($B$7&lt;=A34,"n/a",($B$4/$B$5)*($B$7-A34)+A34)</f>
        <v>0.266058364159474</v>
      </c>
      <c r="C34" s="41" t="s">
        <v>351</v>
      </c>
      <c r="D34" s="41"/>
      <c r="E34" s="41"/>
    </row>
    <row r="35" customFormat="false" ht="15" hidden="false" customHeight="true" outlineLevel="0" collapsed="false">
      <c r="A35" s="86" t="n">
        <v>0.05</v>
      </c>
      <c r="B35" s="82" t="n">
        <f aca="false">IF($B$7&lt;=A35,"n/a",($B$4/$B$5)*($B$7-A35)+A35)</f>
        <v>0.25550760378134</v>
      </c>
      <c r="C35" s="41" t="s">
        <v>352</v>
      </c>
      <c r="D35" s="41"/>
      <c r="E35" s="41"/>
    </row>
    <row r="36" customFormat="false" ht="15" hidden="false" customHeight="true" outlineLevel="0" collapsed="false">
      <c r="A36" s="86" t="n">
        <v>0.06</v>
      </c>
      <c r="B36" s="82" t="n">
        <f aca="false">IF($B$7&lt;=A36,"n/a",($B$4/$B$5)*($B$7-A36)+A36)</f>
        <v>0.244956843403206</v>
      </c>
      <c r="C36" s="41" t="s">
        <v>353</v>
      </c>
      <c r="D36" s="41"/>
      <c r="E36" s="41"/>
    </row>
    <row r="37" customFormat="false" ht="15" hidden="false" customHeight="true" outlineLevel="0" collapsed="false">
      <c r="A37" s="86" t="n">
        <v>0.07</v>
      </c>
      <c r="B37" s="82" t="n">
        <f aca="false">IF($B$7&lt;=A37,"n/a",($B$4/$B$5)*($B$7-A37)+A37)</f>
        <v>0.234406083025072</v>
      </c>
      <c r="C37" s="41" t="s">
        <v>354</v>
      </c>
      <c r="D37" s="41"/>
      <c r="E37" s="41"/>
    </row>
    <row r="38" customFormat="false" ht="15" hidden="false" customHeight="true" outlineLevel="0" collapsed="false">
      <c r="A38" s="86" t="n">
        <v>0.08</v>
      </c>
      <c r="B38" s="82" t="n">
        <f aca="false">IF($B$7&lt;=A38,"n/a",($B$4/$B$5)*($B$7-A38)+A38)</f>
        <v>0.223855322646938</v>
      </c>
      <c r="C38" s="41" t="s">
        <v>355</v>
      </c>
      <c r="D38" s="41"/>
      <c r="E38" s="41"/>
    </row>
    <row r="40" customFormat="false" ht="16.5" hidden="false" customHeight="true" outlineLevel="0" collapsed="false">
      <c r="A40" s="14" t="s">
        <v>356</v>
      </c>
      <c r="B40" s="14"/>
      <c r="C40" s="14"/>
      <c r="D40" s="14"/>
      <c r="E40" s="14"/>
      <c r="F40" s="14"/>
      <c r="G40" s="14"/>
      <c r="H40" s="14"/>
      <c r="I40" s="14"/>
    </row>
    <row r="41" customFormat="false" ht="13.5" hidden="false" customHeight="true" outlineLevel="0" collapsed="false">
      <c r="A41" s="13" t="s">
        <v>357</v>
      </c>
      <c r="B41" s="13"/>
      <c r="C41" s="13"/>
      <c r="D41" s="13"/>
      <c r="E41" s="13"/>
      <c r="F41" s="13"/>
      <c r="G41" s="13"/>
      <c r="H41" s="13"/>
      <c r="I41" s="13"/>
    </row>
    <row r="42" customFormat="false" ht="16.5" hidden="false" customHeight="true" outlineLevel="0" collapsed="false">
      <c r="A42" s="14" t="s">
        <v>358</v>
      </c>
      <c r="B42" s="14"/>
      <c r="C42" s="14"/>
      <c r="D42" s="14"/>
      <c r="E42" s="14"/>
      <c r="F42" s="14"/>
      <c r="G42" s="14"/>
      <c r="H42" s="14"/>
      <c r="I42" s="14"/>
    </row>
    <row r="43" customFormat="false" ht="15" hidden="false" customHeight="true" outlineLevel="0" collapsed="false">
      <c r="A43" s="13" t="s">
        <v>359</v>
      </c>
      <c r="B43" s="13"/>
      <c r="C43" s="13"/>
      <c r="D43" s="13"/>
      <c r="E43" s="13"/>
      <c r="F43" s="13"/>
      <c r="G43" s="13"/>
      <c r="H43" s="13"/>
      <c r="I43" s="13"/>
    </row>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mergeCells count="17">
    <mergeCell ref="A1:I1"/>
    <mergeCell ref="A3:E3"/>
    <mergeCell ref="A11:E11"/>
    <mergeCell ref="A16:I16"/>
    <mergeCell ref="A28:I28"/>
    <mergeCell ref="A30:E30"/>
    <mergeCell ref="A31:E31"/>
    <mergeCell ref="C33:E33"/>
    <mergeCell ref="C34:E34"/>
    <mergeCell ref="C35:E35"/>
    <mergeCell ref="C36:E36"/>
    <mergeCell ref="C37:E37"/>
    <mergeCell ref="C38:E38"/>
    <mergeCell ref="A40:I40"/>
    <mergeCell ref="A41:I41"/>
    <mergeCell ref="A42:I42"/>
    <mergeCell ref="A43:I4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B3" activeCellId="0" sqref="B3"/>
    </sheetView>
  </sheetViews>
  <sheetFormatPr defaultColWidth="12.62890625" defaultRowHeight="15" customHeight="true" zeroHeight="false" outlineLevelRow="0" outlineLevelCol="0"/>
  <cols>
    <col collapsed="false" customWidth="true" hidden="false" outlineLevel="0" max="1" min="1" style="1" width="32"/>
    <col collapsed="false" customWidth="true" hidden="false" outlineLevel="0" max="9" min="2" style="1" width="13"/>
    <col collapsed="false" customWidth="true" hidden="false" outlineLevel="0" max="26" min="10" style="1" width="8.63"/>
  </cols>
  <sheetData>
    <row r="1" customFormat="false" ht="24" hidden="false" customHeight="true" outlineLevel="0" collapsed="false">
      <c r="A1" s="23" t="s">
        <v>360</v>
      </c>
      <c r="B1" s="23"/>
      <c r="C1" s="23"/>
      <c r="D1" s="23"/>
      <c r="E1" s="23"/>
      <c r="F1" s="23"/>
      <c r="G1" s="23"/>
      <c r="H1" s="23"/>
      <c r="I1" s="23"/>
    </row>
    <row r="3" customFormat="false" ht="15" hidden="false" customHeight="true" outlineLevel="0" collapsed="false">
      <c r="A3" s="8" t="s">
        <v>361</v>
      </c>
      <c r="B3" s="8"/>
      <c r="C3" s="8"/>
      <c r="D3" s="8"/>
      <c r="E3" s="8"/>
      <c r="F3" s="8"/>
      <c r="G3" s="8"/>
      <c r="H3" s="8"/>
      <c r="I3" s="8"/>
    </row>
    <row r="4" customFormat="false" ht="15" hidden="false" customHeight="true" outlineLevel="0" collapsed="false">
      <c r="A4" s="4" t="s">
        <v>362</v>
      </c>
      <c r="B4" s="4"/>
      <c r="C4" s="4"/>
      <c r="D4" s="4"/>
      <c r="E4" s="4"/>
      <c r="F4" s="4"/>
      <c r="G4" s="4"/>
      <c r="H4" s="4"/>
      <c r="I4" s="4"/>
    </row>
    <row r="5" customFormat="false" ht="15" hidden="false" customHeight="true" outlineLevel="0" collapsed="false">
      <c r="A5" s="4" t="s">
        <v>363</v>
      </c>
      <c r="B5" s="4"/>
      <c r="C5" s="4"/>
      <c r="D5" s="4"/>
      <c r="E5" s="4"/>
      <c r="F5" s="4"/>
      <c r="G5" s="4"/>
      <c r="H5" s="4"/>
      <c r="I5" s="4"/>
    </row>
    <row r="7" customFormat="false" ht="16.5" hidden="false" customHeight="true" outlineLevel="0" collapsed="false">
      <c r="A7" s="8" t="s">
        <v>364</v>
      </c>
      <c r="B7" s="8"/>
      <c r="C7" s="8"/>
      <c r="D7" s="8"/>
      <c r="E7" s="8"/>
    </row>
    <row r="8" customFormat="false" ht="15" hidden="false" customHeight="true" outlineLevel="0" collapsed="false">
      <c r="A8" s="10" t="s">
        <v>365</v>
      </c>
      <c r="B8" s="87" t="n">
        <f aca="false">Assumptions!B30</f>
        <v>65000</v>
      </c>
      <c r="C8" s="41" t="s">
        <v>366</v>
      </c>
      <c r="D8" s="41"/>
      <c r="E8" s="41"/>
    </row>
    <row r="9" customFormat="false" ht="15" hidden="false" customHeight="true" outlineLevel="0" collapsed="false">
      <c r="A9" s="10" t="s">
        <v>237</v>
      </c>
      <c r="B9" s="79" t="n">
        <f aca="false">Assumptions!B31</f>
        <v>0.2</v>
      </c>
      <c r="C9" s="41" t="s">
        <v>367</v>
      </c>
      <c r="D9" s="41"/>
      <c r="E9" s="41"/>
    </row>
    <row r="10" customFormat="false" ht="15" hidden="false" customHeight="true" outlineLevel="0" collapsed="false">
      <c r="A10" s="63" t="s">
        <v>368</v>
      </c>
      <c r="B10" s="88" t="n">
        <f aca="false">B8*B9</f>
        <v>13000</v>
      </c>
      <c r="C10" s="41" t="s">
        <v>369</v>
      </c>
      <c r="D10" s="41"/>
      <c r="E10" s="41"/>
    </row>
    <row r="11" customFormat="false" ht="15" hidden="false" customHeight="true" outlineLevel="0" collapsed="false">
      <c r="A11" s="10" t="s">
        <v>370</v>
      </c>
      <c r="B11" s="87" t="n">
        <f aca="false">Assumptions!B6</f>
        <v>1130</v>
      </c>
      <c r="C11" s="41"/>
      <c r="D11" s="41"/>
      <c r="E11" s="41"/>
    </row>
    <row r="12" customFormat="false" ht="15" hidden="false" customHeight="true" outlineLevel="0" collapsed="false">
      <c r="A12" s="63" t="s">
        <v>371</v>
      </c>
      <c r="B12" s="81" t="n">
        <f aca="false">B10/B11</f>
        <v>11.5044247787611</v>
      </c>
      <c r="C12" s="41" t="s">
        <v>372</v>
      </c>
      <c r="D12" s="41"/>
      <c r="E12" s="41"/>
    </row>
    <row r="13" customFormat="false" ht="15" hidden="false" customHeight="true" outlineLevel="0" collapsed="false">
      <c r="A13" s="10" t="s">
        <v>239</v>
      </c>
      <c r="B13" s="89" t="n">
        <f aca="false">Assumptions!B32</f>
        <v>12</v>
      </c>
      <c r="C13" s="41" t="s">
        <v>373</v>
      </c>
      <c r="D13" s="41"/>
      <c r="E13" s="41"/>
    </row>
    <row r="14" customFormat="false" ht="15" hidden="false" customHeight="true" outlineLevel="0" collapsed="false">
      <c r="A14" s="63" t="s">
        <v>374</v>
      </c>
      <c r="B14" s="81" t="n">
        <f aca="false">B12*B13</f>
        <v>138.053097345133</v>
      </c>
      <c r="C14" s="41" t="s">
        <v>375</v>
      </c>
      <c r="D14" s="41"/>
      <c r="E14" s="41"/>
    </row>
    <row r="15" customFormat="false" ht="15" hidden="false" customHeight="true" outlineLevel="0" collapsed="false">
      <c r="A15" s="50" t="s">
        <v>376</v>
      </c>
      <c r="B15" s="53" t="n">
        <f aca="false">Assumptions!B8/Assumptions!B6</f>
        <v>21.0176991150443</v>
      </c>
      <c r="C15" s="41" t="s">
        <v>377</v>
      </c>
      <c r="D15" s="41"/>
      <c r="E15" s="41"/>
    </row>
    <row r="16" customFormat="false" ht="15" hidden="false" customHeight="true" outlineLevel="0" collapsed="false">
      <c r="A16" s="63" t="s">
        <v>378</v>
      </c>
      <c r="B16" s="81" t="n">
        <f aca="false">B14+B15</f>
        <v>159.070796460177</v>
      </c>
      <c r="C16" s="41" t="s">
        <v>379</v>
      </c>
      <c r="D16" s="41"/>
      <c r="E16" s="41"/>
    </row>
    <row r="17" customFormat="false" ht="15" hidden="false" customHeight="true" outlineLevel="0" collapsed="false">
      <c r="A17" s="10" t="s">
        <v>187</v>
      </c>
      <c r="B17" s="53" t="n">
        <f aca="false">Assumptions!B5</f>
        <v>900</v>
      </c>
      <c r="C17" s="44" t="s">
        <v>380</v>
      </c>
      <c r="D17" s="44"/>
      <c r="E17" s="44"/>
    </row>
    <row r="18" customFormat="false" ht="15" hidden="false" customHeight="true" outlineLevel="0" collapsed="false">
      <c r="A18" s="63" t="s">
        <v>342</v>
      </c>
      <c r="B18" s="82" t="n">
        <f aca="false">B16/B17-1</f>
        <v>-0.823254670599803</v>
      </c>
      <c r="C18" s="41"/>
      <c r="D18" s="41"/>
      <c r="E18" s="41"/>
    </row>
    <row r="20" customFormat="false" ht="16.5" hidden="false" customHeight="true" outlineLevel="0" collapsed="false">
      <c r="A20" s="8" t="s">
        <v>381</v>
      </c>
      <c r="B20" s="8"/>
      <c r="C20" s="8"/>
      <c r="D20" s="8"/>
      <c r="E20" s="8"/>
      <c r="F20" s="8"/>
      <c r="G20" s="8"/>
      <c r="H20" s="8"/>
      <c r="I20" s="8"/>
    </row>
    <row r="21" customFormat="false" ht="15" hidden="false" customHeight="true" outlineLevel="0" collapsed="false">
      <c r="A21" s="61" t="s">
        <v>182</v>
      </c>
      <c r="B21" s="62" t="s">
        <v>299</v>
      </c>
      <c r="C21" s="62" t="s">
        <v>300</v>
      </c>
      <c r="D21" s="62" t="s">
        <v>301</v>
      </c>
      <c r="E21" s="62" t="s">
        <v>302</v>
      </c>
      <c r="F21" s="62" t="s">
        <v>303</v>
      </c>
      <c r="G21" s="62" t="s">
        <v>304</v>
      </c>
      <c r="H21" s="62" t="s">
        <v>382</v>
      </c>
    </row>
    <row r="22" customFormat="false" ht="15" hidden="false" customHeight="true" outlineLevel="0" collapsed="false">
      <c r="A22" s="63" t="s">
        <v>383</v>
      </c>
      <c r="B22" s="87" t="n">
        <f aca="false">HistoricalCycle!B5</f>
        <v>27705</v>
      </c>
      <c r="C22" s="87" t="n">
        <f aca="false">HistoricalCycle!C5</f>
        <v>30758</v>
      </c>
      <c r="D22" s="87" t="n">
        <f aca="false">HistoricalCycle!D5</f>
        <v>15540</v>
      </c>
      <c r="E22" s="87" t="n">
        <f aca="false">HistoricalCycle!E5</f>
        <v>25111</v>
      </c>
      <c r="F22" s="87" t="n">
        <f aca="false">HistoricalCycle!F5</f>
        <v>37378</v>
      </c>
      <c r="G22" s="87" t="n">
        <f aca="false">HistoricalCycle!G5</f>
        <v>90274</v>
      </c>
      <c r="H22" s="87" t="n">
        <f aca="false">HistoricalCycle!H5</f>
        <v>27298.4</v>
      </c>
    </row>
    <row r="23" customFormat="false" ht="15" hidden="false" customHeight="true" outlineLevel="0" collapsed="false">
      <c r="A23" s="63" t="s">
        <v>278</v>
      </c>
      <c r="B23" s="79" t="n">
        <f aca="false">HistoricalCycle!B10</f>
        <v>0.2102</v>
      </c>
      <c r="C23" s="79" t="n">
        <f aca="false">HistoricalCycle!C10</f>
        <v>0.2823</v>
      </c>
      <c r="D23" s="79" t="n">
        <f aca="false">HistoricalCycle!D10</f>
        <v>-0.3755</v>
      </c>
      <c r="E23" s="79" t="n">
        <f aca="false">HistoricalCycle!E10</f>
        <v>0.0314</v>
      </c>
      <c r="F23" s="79" t="n">
        <f aca="false">HistoricalCycle!F10</f>
        <v>0.2282</v>
      </c>
      <c r="G23" s="79" t="n">
        <f aca="false">HistoricalCycle!G10</f>
        <v>0.5589</v>
      </c>
      <c r="H23" s="79" t="n">
        <f aca="false">HistoricalCycle!H10</f>
        <v>0.07532</v>
      </c>
    </row>
    <row r="24" customFormat="false" ht="15" hidden="false" customHeight="true" outlineLevel="0" collapsed="false">
      <c r="A24" s="57" t="s">
        <v>384</v>
      </c>
      <c r="B24" s="57"/>
      <c r="C24" s="57"/>
      <c r="D24" s="57"/>
      <c r="E24" s="57"/>
      <c r="F24" s="57"/>
      <c r="G24" s="57"/>
      <c r="H24" s="57"/>
      <c r="I24" s="57"/>
    </row>
    <row r="26" customFormat="false" ht="16.5" hidden="false" customHeight="true" outlineLevel="0" collapsed="false">
      <c r="A26" s="8" t="s">
        <v>385</v>
      </c>
      <c r="B26" s="8"/>
      <c r="C26" s="8"/>
      <c r="D26" s="8"/>
      <c r="E26" s="8"/>
      <c r="F26" s="8"/>
      <c r="G26" s="8"/>
      <c r="H26" s="8"/>
      <c r="I26" s="8"/>
    </row>
    <row r="27" customFormat="false" ht="15" hidden="false" customHeight="true" outlineLevel="0" collapsed="false">
      <c r="A27" s="38" t="s">
        <v>386</v>
      </c>
      <c r="B27" s="90" t="n">
        <v>8</v>
      </c>
      <c r="C27" s="90" t="n">
        <v>10</v>
      </c>
      <c r="D27" s="90" t="n">
        <v>12</v>
      </c>
      <c r="E27" s="90" t="n">
        <v>15</v>
      </c>
      <c r="F27" s="90" t="n">
        <v>18</v>
      </c>
      <c r="G27" s="90" t="n">
        <v>20</v>
      </c>
      <c r="H27" s="90" t="n">
        <v>25</v>
      </c>
    </row>
    <row r="28" customFormat="false" ht="15" hidden="false" customHeight="true" outlineLevel="0" collapsed="false">
      <c r="A28" s="84" t="n">
        <v>0.05</v>
      </c>
      <c r="B28" s="85" t="n">
        <f aca="false">$B$8*$A28/$B$11*B$27+$B$15</f>
        <v>44.0265486725664</v>
      </c>
      <c r="C28" s="85" t="n">
        <f aca="false">$B$8*$A28/$B$11*C$27+$B$15</f>
        <v>49.7787610619469</v>
      </c>
      <c r="D28" s="85" t="n">
        <f aca="false">$B$8*$A28/$B$11*D$27+$B$15</f>
        <v>55.5309734513274</v>
      </c>
      <c r="E28" s="85" t="n">
        <f aca="false">$B$8*$A28/$B$11*E$27+$B$15</f>
        <v>64.1592920353982</v>
      </c>
      <c r="F28" s="85" t="n">
        <f aca="false">$B$8*$A28/$B$11*F$27+$B$15</f>
        <v>72.787610619469</v>
      </c>
      <c r="G28" s="85" t="n">
        <f aca="false">$B$8*$A28/$B$11*G$27+$B$15</f>
        <v>78.5398230088496</v>
      </c>
      <c r="H28" s="85" t="n">
        <f aca="false">$B$8*$A28/$B$11*H$27+$B$15</f>
        <v>92.9203539823009</v>
      </c>
    </row>
    <row r="29" customFormat="false" ht="15" hidden="false" customHeight="true" outlineLevel="0" collapsed="false">
      <c r="A29" s="84" t="n">
        <v>0.1</v>
      </c>
      <c r="B29" s="85" t="n">
        <f aca="false">$B$8*$A29/$B$11*B$27+$B$15</f>
        <v>67.0353982300885</v>
      </c>
      <c r="C29" s="85" t="n">
        <f aca="false">$B$8*$A29/$B$11*C$27+$B$15</f>
        <v>78.5398230088496</v>
      </c>
      <c r="D29" s="85" t="n">
        <f aca="false">$B$8*$A29/$B$11*D$27+$B$15</f>
        <v>90.0442477876106</v>
      </c>
      <c r="E29" s="85" t="n">
        <f aca="false">$B$8*$A29/$B$11*E$27+$B$15</f>
        <v>107.300884955752</v>
      </c>
      <c r="F29" s="85" t="n">
        <f aca="false">$B$8*$A29/$B$11*F$27+$B$15</f>
        <v>124.557522123894</v>
      </c>
      <c r="G29" s="85" t="n">
        <f aca="false">$B$8*$A29/$B$11*G$27+$B$15</f>
        <v>136.061946902655</v>
      </c>
      <c r="H29" s="85" t="n">
        <f aca="false">$B$8*$A29/$B$11*H$27+$B$15</f>
        <v>164.823008849558</v>
      </c>
    </row>
    <row r="30" customFormat="false" ht="15" hidden="false" customHeight="true" outlineLevel="0" collapsed="false">
      <c r="A30" s="84" t="n">
        <v>0.15</v>
      </c>
      <c r="B30" s="85" t="n">
        <f aca="false">$B$8*$A30/$B$11*B$27+$B$15</f>
        <v>90.0442477876106</v>
      </c>
      <c r="C30" s="85" t="n">
        <f aca="false">$B$8*$A30/$B$11*C$27+$B$15</f>
        <v>107.300884955752</v>
      </c>
      <c r="D30" s="85" t="n">
        <f aca="false">$B$8*$A30/$B$11*D$27+$B$15</f>
        <v>124.557522123894</v>
      </c>
      <c r="E30" s="85" t="n">
        <f aca="false">$B$8*$A30/$B$11*E$27+$B$15</f>
        <v>150.442477876106</v>
      </c>
      <c r="F30" s="85" t="n">
        <f aca="false">$B$8*$A30/$B$11*F$27+$B$15</f>
        <v>176.327433628319</v>
      </c>
      <c r="G30" s="85" t="n">
        <f aca="false">$B$8*$A30/$B$11*G$27+$B$15</f>
        <v>193.58407079646</v>
      </c>
      <c r="H30" s="85" t="n">
        <f aca="false">$B$8*$A30/$B$11*H$27+$B$15</f>
        <v>236.725663716814</v>
      </c>
    </row>
    <row r="31" customFormat="false" ht="15" hidden="false" customHeight="true" outlineLevel="0" collapsed="false">
      <c r="A31" s="84" t="n">
        <v>0.2</v>
      </c>
      <c r="B31" s="85" t="n">
        <f aca="false">$B$8*$A31/$B$11*B$27+$B$15</f>
        <v>113.053097345133</v>
      </c>
      <c r="C31" s="85" t="n">
        <f aca="false">$B$8*$A31/$B$11*C$27+$B$15</f>
        <v>136.061946902655</v>
      </c>
      <c r="D31" s="85" t="n">
        <f aca="false">$B$8*$A31/$B$11*D$27+$B$15</f>
        <v>159.070796460177</v>
      </c>
      <c r="E31" s="85" t="n">
        <f aca="false">$B$8*$A31/$B$11*E$27+$B$15</f>
        <v>193.58407079646</v>
      </c>
      <c r="F31" s="85" t="n">
        <f aca="false">$B$8*$A31/$B$11*F$27+$B$15</f>
        <v>228.097345132743</v>
      </c>
      <c r="G31" s="85" t="n">
        <f aca="false">$B$8*$A31/$B$11*G$27+$B$15</f>
        <v>251.106194690265</v>
      </c>
      <c r="H31" s="85" t="n">
        <f aca="false">$B$8*$A31/$B$11*H$27+$B$15</f>
        <v>308.628318584071</v>
      </c>
    </row>
    <row r="32" customFormat="false" ht="15" hidden="false" customHeight="true" outlineLevel="0" collapsed="false">
      <c r="A32" s="84" t="n">
        <v>0.25</v>
      </c>
      <c r="B32" s="85" t="n">
        <f aca="false">$B$8*$A32/$B$11*B$27+$B$15</f>
        <v>136.061946902655</v>
      </c>
      <c r="C32" s="85" t="n">
        <f aca="false">$B$8*$A32/$B$11*C$27+$B$15</f>
        <v>164.823008849558</v>
      </c>
      <c r="D32" s="85" t="n">
        <f aca="false">$B$8*$A32/$B$11*D$27+$B$15</f>
        <v>193.58407079646</v>
      </c>
      <c r="E32" s="85" t="n">
        <f aca="false">$B$8*$A32/$B$11*E$27+$B$15</f>
        <v>236.725663716814</v>
      </c>
      <c r="F32" s="85" t="n">
        <f aca="false">$B$8*$A32/$B$11*F$27+$B$15</f>
        <v>279.867256637168</v>
      </c>
      <c r="G32" s="85" t="n">
        <f aca="false">$B$8*$A32/$B$11*G$27+$B$15</f>
        <v>308.628318584071</v>
      </c>
      <c r="H32" s="85" t="n">
        <f aca="false">$B$8*$A32/$B$11*H$27+$B$15</f>
        <v>380.530973451327</v>
      </c>
    </row>
    <row r="33" customFormat="false" ht="15" hidden="false" customHeight="true" outlineLevel="0" collapsed="false">
      <c r="A33" s="84" t="n">
        <v>0.3</v>
      </c>
      <c r="B33" s="85" t="n">
        <f aca="false">$B$8*$A33/$B$11*B$27+$B$15</f>
        <v>159.070796460177</v>
      </c>
      <c r="C33" s="85" t="n">
        <f aca="false">$B$8*$A33/$B$11*C$27+$B$15</f>
        <v>193.58407079646</v>
      </c>
      <c r="D33" s="85" t="n">
        <f aca="false">$B$8*$A33/$B$11*D$27+$B$15</f>
        <v>228.097345132743</v>
      </c>
      <c r="E33" s="85" t="n">
        <f aca="false">$B$8*$A33/$B$11*E$27+$B$15</f>
        <v>279.867256637168</v>
      </c>
      <c r="F33" s="85" t="n">
        <f aca="false">$B$8*$A33/$B$11*F$27+$B$15</f>
        <v>331.637168141593</v>
      </c>
      <c r="G33" s="85" t="n">
        <f aca="false">$B$8*$A33/$B$11*G$27+$B$15</f>
        <v>366.150442477876</v>
      </c>
      <c r="H33" s="85" t="n">
        <f aca="false">$B$8*$A33/$B$11*H$27+$B$15</f>
        <v>452.433628318584</v>
      </c>
    </row>
    <row r="34" customFormat="false" ht="15" hidden="false" customHeight="true" outlineLevel="0" collapsed="false">
      <c r="A34" s="84" t="n">
        <v>0.4</v>
      </c>
      <c r="B34" s="85" t="n">
        <f aca="false">$B$8*$A34/$B$11*B$27+$B$15</f>
        <v>205.088495575221</v>
      </c>
      <c r="C34" s="85" t="n">
        <f aca="false">$B$8*$A34/$B$11*C$27+$B$15</f>
        <v>251.106194690265</v>
      </c>
      <c r="D34" s="85" t="n">
        <f aca="false">$B$8*$A34/$B$11*D$27+$B$15</f>
        <v>297.12389380531</v>
      </c>
      <c r="E34" s="85" t="n">
        <f aca="false">$B$8*$A34/$B$11*E$27+$B$15</f>
        <v>366.150442477876</v>
      </c>
      <c r="F34" s="85" t="n">
        <f aca="false">$B$8*$A34/$B$11*F$27+$B$15</f>
        <v>435.176991150442</v>
      </c>
      <c r="G34" s="85" t="n">
        <f aca="false">$B$8*$A34/$B$11*G$27+$B$15</f>
        <v>481.194690265487</v>
      </c>
      <c r="H34" s="85" t="n">
        <f aca="false">$B$8*$A34/$B$11*H$27+$B$15</f>
        <v>596.238938053097</v>
      </c>
    </row>
    <row r="35" customFormat="false" ht="15" hidden="false" customHeight="true" outlineLevel="0" collapsed="false">
      <c r="A35" s="84" t="n">
        <v>0.5</v>
      </c>
      <c r="B35" s="85" t="n">
        <f aca="false">$B$8*$A35/$B$11*B$27+$B$15</f>
        <v>251.106194690265</v>
      </c>
      <c r="C35" s="85" t="n">
        <f aca="false">$B$8*$A35/$B$11*C$27+$B$15</f>
        <v>308.628318584071</v>
      </c>
      <c r="D35" s="85" t="n">
        <f aca="false">$B$8*$A35/$B$11*D$27+$B$15</f>
        <v>366.150442477876</v>
      </c>
      <c r="E35" s="85" t="n">
        <f aca="false">$B$8*$A35/$B$11*E$27+$B$15</f>
        <v>452.433628318584</v>
      </c>
      <c r="F35" s="85" t="n">
        <f aca="false">$B$8*$A35/$B$11*F$27+$B$15</f>
        <v>538.716814159292</v>
      </c>
      <c r="G35" s="85" t="n">
        <f aca="false">$B$8*$A35/$B$11*G$27+$B$15</f>
        <v>596.238938053097</v>
      </c>
      <c r="H35" s="85" t="n">
        <f aca="false">$B$8*$A35/$B$11*H$27+$B$15</f>
        <v>740.044247787611</v>
      </c>
    </row>
    <row r="37" customFormat="false" ht="15" hidden="false" customHeight="true" outlineLevel="0" collapsed="false">
      <c r="A37" s="13" t="s">
        <v>387</v>
      </c>
      <c r="B37" s="13"/>
      <c r="C37" s="13"/>
      <c r="D37" s="13"/>
      <c r="E37" s="13"/>
      <c r="F37" s="13"/>
      <c r="G37" s="13"/>
      <c r="H37" s="13"/>
      <c r="I37" s="13"/>
    </row>
    <row r="38" customFormat="false" ht="16.5" hidden="false" customHeight="true" outlineLevel="0" collapsed="false">
      <c r="A38" s="14" t="s">
        <v>388</v>
      </c>
      <c r="B38" s="14"/>
      <c r="C38" s="14"/>
      <c r="D38" s="14"/>
      <c r="E38" s="14"/>
      <c r="F38" s="14"/>
      <c r="G38" s="14"/>
      <c r="H38" s="14"/>
      <c r="I38" s="14"/>
    </row>
    <row r="39" customFormat="false" ht="15" hidden="false" customHeight="true" outlineLevel="0" collapsed="false">
      <c r="A39" s="57" t="s">
        <v>389</v>
      </c>
      <c r="B39" s="57"/>
      <c r="C39" s="57"/>
      <c r="D39" s="57"/>
      <c r="E39" s="57"/>
      <c r="F39" s="57"/>
      <c r="G39" s="57"/>
      <c r="H39" s="57"/>
      <c r="I39" s="57"/>
    </row>
    <row r="40" customFormat="false" ht="15" hidden="false" customHeight="true" outlineLevel="0" collapsed="false">
      <c r="A40" s="57" t="s">
        <v>390</v>
      </c>
      <c r="B40" s="57"/>
      <c r="C40" s="57"/>
      <c r="D40" s="57"/>
      <c r="E40" s="57"/>
      <c r="F40" s="57"/>
      <c r="G40" s="57"/>
      <c r="H40" s="57"/>
      <c r="I40" s="57"/>
    </row>
    <row r="41" customFormat="false" ht="15" hidden="false" customHeight="true" outlineLevel="0" collapsed="false">
      <c r="A41" s="13"/>
      <c r="B41" s="13"/>
      <c r="C41" s="13"/>
      <c r="D41" s="13"/>
      <c r="E41" s="13"/>
      <c r="F41" s="13"/>
      <c r="G41" s="13"/>
      <c r="H41" s="13"/>
      <c r="I41" s="13"/>
    </row>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mergeCells count="24">
    <mergeCell ref="A1:I1"/>
    <mergeCell ref="A3:I3"/>
    <mergeCell ref="A4:I4"/>
    <mergeCell ref="A5:I5"/>
    <mergeCell ref="A7:E7"/>
    <mergeCell ref="C8:E8"/>
    <mergeCell ref="C9:E9"/>
    <mergeCell ref="C10:E10"/>
    <mergeCell ref="C11:E11"/>
    <mergeCell ref="C12:E12"/>
    <mergeCell ref="C13:E13"/>
    <mergeCell ref="C14:E14"/>
    <mergeCell ref="C15:E15"/>
    <mergeCell ref="C16:E16"/>
    <mergeCell ref="C17:E17"/>
    <mergeCell ref="C18:E18"/>
    <mergeCell ref="A20:I20"/>
    <mergeCell ref="A24:I24"/>
    <mergeCell ref="A26:I26"/>
    <mergeCell ref="A37:I37"/>
    <mergeCell ref="A38:I38"/>
    <mergeCell ref="A39:I39"/>
    <mergeCell ref="A40:I40"/>
    <mergeCell ref="A41:I4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B3" activeCellId="0" sqref="B3"/>
    </sheetView>
  </sheetViews>
  <sheetFormatPr defaultColWidth="12.62890625" defaultRowHeight="15" customHeight="true" zeroHeight="false" outlineLevelRow="0" outlineLevelCol="0"/>
  <cols>
    <col collapsed="false" customWidth="true" hidden="false" outlineLevel="0" max="1" min="1" style="1" width="14"/>
    <col collapsed="false" customWidth="true" hidden="false" outlineLevel="0" max="2" min="2" style="1" width="38"/>
    <col collapsed="false" customWidth="true" hidden="false" outlineLevel="0" max="11" min="3" style="1" width="13"/>
    <col collapsed="false" customWidth="true" hidden="false" outlineLevel="0" max="26" min="12" style="1" width="8.63"/>
  </cols>
  <sheetData>
    <row r="1" customFormat="false" ht="24" hidden="false" customHeight="true" outlineLevel="0" collapsed="false">
      <c r="A1" s="23" t="s">
        <v>391</v>
      </c>
      <c r="B1" s="23"/>
      <c r="C1" s="23"/>
      <c r="D1" s="23"/>
      <c r="E1" s="23"/>
      <c r="F1" s="23"/>
      <c r="G1" s="23"/>
      <c r="H1" s="23"/>
      <c r="I1" s="23"/>
      <c r="J1" s="23"/>
    </row>
    <row r="3" customFormat="false" ht="16.5" hidden="false" customHeight="true" outlineLevel="0" collapsed="false">
      <c r="A3" s="8" t="s">
        <v>392</v>
      </c>
      <c r="B3" s="8"/>
      <c r="C3" s="8"/>
      <c r="D3" s="8"/>
      <c r="E3" s="8"/>
      <c r="F3" s="8"/>
      <c r="G3" s="8"/>
      <c r="H3" s="8"/>
      <c r="I3" s="8"/>
      <c r="J3" s="8"/>
      <c r="K3" s="8"/>
    </row>
    <row r="4" customFormat="false" ht="31.5" hidden="false" customHeight="true" outlineLevel="0" collapsed="false">
      <c r="A4" s="25" t="s">
        <v>34</v>
      </c>
      <c r="B4" s="25" t="s">
        <v>393</v>
      </c>
      <c r="C4" s="25" t="s">
        <v>394</v>
      </c>
      <c r="D4" s="25" t="s">
        <v>278</v>
      </c>
      <c r="E4" s="91" t="s">
        <v>306</v>
      </c>
      <c r="F4" s="25" t="s">
        <v>395</v>
      </c>
      <c r="G4" s="25" t="s">
        <v>396</v>
      </c>
      <c r="H4" s="25" t="s">
        <v>397</v>
      </c>
      <c r="I4" s="25" t="s">
        <v>398</v>
      </c>
      <c r="J4" s="25" t="s">
        <v>399</v>
      </c>
    </row>
    <row r="5" customFormat="false" ht="33.75" hidden="false" customHeight="true" outlineLevel="0" collapsed="false">
      <c r="A5" s="92" t="s">
        <v>400</v>
      </c>
      <c r="B5" s="33" t="s">
        <v>401</v>
      </c>
      <c r="C5" s="87" t="n">
        <f aca="false">F54</f>
        <v>339435.202707586</v>
      </c>
      <c r="D5" s="79" t="n">
        <f aca="false">J54</f>
        <v>0.640492878343998</v>
      </c>
      <c r="E5" s="52" t="n">
        <f aca="false">C5*D5/Assumptions!$B$6</f>
        <v>192.394539817222</v>
      </c>
      <c r="F5" s="58" t="n">
        <v>10</v>
      </c>
      <c r="G5" s="85" t="n">
        <f aca="false">E5*F5</f>
        <v>1923.94539817222</v>
      </c>
      <c r="H5" s="93" t="n">
        <v>250</v>
      </c>
      <c r="I5" s="94" t="n">
        <f aca="false">G5+H5</f>
        <v>2173.94539817222</v>
      </c>
      <c r="J5" s="47" t="n">
        <v>0.25</v>
      </c>
    </row>
    <row r="6" customFormat="false" ht="33.75" hidden="false" customHeight="true" outlineLevel="0" collapsed="false">
      <c r="A6" s="95" t="s">
        <v>402</v>
      </c>
      <c r="B6" s="33" t="s">
        <v>403</v>
      </c>
      <c r="C6" s="87" t="n">
        <f aca="false">F55</f>
        <v>285117</v>
      </c>
      <c r="D6" s="79" t="n">
        <f aca="false">J55</f>
        <v>0.599626702997275</v>
      </c>
      <c r="E6" s="52" t="n">
        <f aca="false">C6*D6/Assumptions!$B$6</f>
        <v>151.295368742013</v>
      </c>
      <c r="F6" s="58" t="n">
        <v>9</v>
      </c>
      <c r="G6" s="85" t="n">
        <f aca="false">E6*F6</f>
        <v>1361.65831867811</v>
      </c>
      <c r="H6" s="93" t="n">
        <v>180</v>
      </c>
      <c r="I6" s="96" t="n">
        <f aca="false">G6+H6</f>
        <v>1541.65831867811</v>
      </c>
      <c r="J6" s="47" t="n">
        <v>0.5</v>
      </c>
    </row>
    <row r="7" customFormat="false" ht="33.75" hidden="false" customHeight="true" outlineLevel="0" collapsed="false">
      <c r="A7" s="97" t="s">
        <v>404</v>
      </c>
      <c r="B7" s="33" t="s">
        <v>405</v>
      </c>
      <c r="C7" s="87" t="n">
        <f aca="false">F56</f>
        <v>136325.833384483</v>
      </c>
      <c r="D7" s="79" t="n">
        <f aca="false">J56</f>
        <v>0.320902635517551</v>
      </c>
      <c r="E7" s="52" t="n">
        <f aca="false">C7*D7/Assumptions!$B$6</f>
        <v>38.7144417895638</v>
      </c>
      <c r="F7" s="58" t="n">
        <v>8</v>
      </c>
      <c r="G7" s="85" t="n">
        <f aca="false">E7*F7</f>
        <v>309.71553431651</v>
      </c>
      <c r="H7" s="93" t="n">
        <v>90</v>
      </c>
      <c r="I7" s="98" t="n">
        <f aca="false">G7+H7</f>
        <v>399.71553431651</v>
      </c>
      <c r="J7" s="47" t="n">
        <v>0.25</v>
      </c>
    </row>
    <row r="8" customFormat="false" ht="15" hidden="false" customHeight="true" outlineLevel="0" collapsed="false">
      <c r="A8" s="99" t="s">
        <v>406</v>
      </c>
      <c r="B8" s="99"/>
      <c r="C8" s="99"/>
      <c r="D8" s="99"/>
      <c r="E8" s="99"/>
      <c r="F8" s="99"/>
      <c r="G8" s="99"/>
      <c r="H8" s="99"/>
      <c r="I8" s="99"/>
      <c r="J8" s="49" t="n">
        <f aca="false">SUM(J5:J7)</f>
        <v>1</v>
      </c>
    </row>
    <row r="9" customFormat="false" ht="16.5" hidden="false" customHeight="true" outlineLevel="0" collapsed="false">
      <c r="A9" s="14" t="str">
        <f aca="false">IF(ABS(J8-1)&gt;0.001,"Warning: probabilities do not sum to 100% - adjust J5:J7","OK - probabilities sum to 100%")</f>
        <v>OK - probabilities sum to 100%</v>
      </c>
      <c r="B9" s="14"/>
      <c r="C9" s="14"/>
      <c r="D9" s="14"/>
      <c r="E9" s="14"/>
      <c r="F9" s="14"/>
      <c r="G9" s="14"/>
      <c r="H9" s="14"/>
      <c r="I9" s="14"/>
      <c r="J9" s="14"/>
    </row>
    <row r="10" customFormat="false" ht="15" hidden="false" customHeight="true" outlineLevel="0" collapsed="false">
      <c r="A10" s="57" t="s">
        <v>407</v>
      </c>
      <c r="B10" s="57"/>
      <c r="C10" s="57"/>
      <c r="D10" s="57"/>
      <c r="E10" s="57"/>
      <c r="F10" s="57"/>
      <c r="G10" s="57"/>
      <c r="H10" s="57"/>
      <c r="I10" s="57"/>
      <c r="J10" s="57"/>
    </row>
    <row r="12" customFormat="false" ht="15" hidden="false" customHeight="true" outlineLevel="0" collapsed="false">
      <c r="A12" s="8" t="s">
        <v>408</v>
      </c>
      <c r="B12" s="8"/>
      <c r="C12" s="8"/>
      <c r="D12" s="8"/>
      <c r="E12" s="8"/>
      <c r="F12" s="8"/>
      <c r="G12" s="8"/>
      <c r="H12" s="8"/>
      <c r="I12" s="8"/>
      <c r="J12" s="8"/>
      <c r="K12" s="8"/>
    </row>
    <row r="13" customFormat="false" ht="29.25" hidden="false" customHeight="true" outlineLevel="0" collapsed="false">
      <c r="A13" s="26" t="s">
        <v>409</v>
      </c>
      <c r="B13" s="96" t="n">
        <f aca="false">SUMPRODUCT(I5:I7,J5:J7)/J8</f>
        <v>1414.24439246124</v>
      </c>
      <c r="C13" s="41" t="s">
        <v>410</v>
      </c>
      <c r="D13" s="41"/>
      <c r="E13" s="41"/>
      <c r="F13" s="41"/>
      <c r="G13" s="41"/>
      <c r="H13" s="41"/>
      <c r="I13" s="41"/>
      <c r="J13" s="41"/>
      <c r="K13" s="41"/>
    </row>
    <row r="14" customFormat="false" ht="15" hidden="false" customHeight="true" outlineLevel="0" collapsed="false">
      <c r="A14" s="26" t="s">
        <v>187</v>
      </c>
      <c r="B14" s="81" t="n">
        <f aca="false">Assumptions!B5</f>
        <v>900</v>
      </c>
      <c r="C14" s="44" t="s">
        <v>380</v>
      </c>
      <c r="D14" s="44"/>
      <c r="E14" s="44"/>
      <c r="F14" s="44"/>
      <c r="G14" s="44"/>
      <c r="H14" s="44"/>
      <c r="I14" s="44"/>
      <c r="J14" s="44"/>
      <c r="K14" s="44"/>
    </row>
    <row r="15" customFormat="false" ht="15" hidden="false" customHeight="true" outlineLevel="0" collapsed="false">
      <c r="A15" s="26" t="s">
        <v>411</v>
      </c>
      <c r="B15" s="82" t="n">
        <f aca="false">B13/B14-1</f>
        <v>0.571382658290265</v>
      </c>
      <c r="C15" s="41" t="s">
        <v>412</v>
      </c>
      <c r="D15" s="41"/>
      <c r="E15" s="41"/>
      <c r="F15" s="41"/>
      <c r="G15" s="41"/>
      <c r="H15" s="41"/>
      <c r="I15" s="41"/>
      <c r="J15" s="41"/>
      <c r="K15" s="41"/>
    </row>
    <row r="16" customFormat="false" ht="15" hidden="false" customHeight="true" outlineLevel="0" collapsed="false">
      <c r="A16" s="26" t="s">
        <v>413</v>
      </c>
      <c r="B16" s="82" t="n">
        <f aca="false">I5/B14-1</f>
        <v>1.41549488685802</v>
      </c>
      <c r="C16" s="41"/>
      <c r="D16" s="41"/>
      <c r="E16" s="41"/>
      <c r="F16" s="41"/>
      <c r="G16" s="41"/>
      <c r="H16" s="41"/>
      <c r="I16" s="41"/>
      <c r="J16" s="41"/>
      <c r="K16" s="41"/>
    </row>
    <row r="17" customFormat="false" ht="15" hidden="false" customHeight="true" outlineLevel="0" collapsed="false">
      <c r="A17" s="26" t="s">
        <v>414</v>
      </c>
      <c r="B17" s="82" t="n">
        <f aca="false">I7/B14-1</f>
        <v>-0.555871628537211</v>
      </c>
      <c r="C17" s="41"/>
      <c r="D17" s="41"/>
      <c r="E17" s="41"/>
      <c r="F17" s="41"/>
      <c r="G17" s="41"/>
      <c r="H17" s="41"/>
      <c r="I17" s="41"/>
      <c r="J17" s="41"/>
      <c r="K17" s="41"/>
    </row>
    <row r="18" customFormat="false" ht="15" hidden="false" customHeight="true" outlineLevel="0" collapsed="false">
      <c r="A18" s="26" t="s">
        <v>415</v>
      </c>
      <c r="B18" s="80" t="n">
        <f aca="false">IFERROR(ABS(I5/B14-1)/ABS(I7/B14-1),"n/a")</f>
        <v>2.5464420455905</v>
      </c>
      <c r="C18" s="44" t="s">
        <v>416</v>
      </c>
      <c r="D18" s="44"/>
      <c r="E18" s="44"/>
      <c r="F18" s="44"/>
      <c r="G18" s="44"/>
      <c r="H18" s="44"/>
      <c r="I18" s="44"/>
      <c r="J18" s="44"/>
      <c r="K18" s="44"/>
    </row>
    <row r="19" customFormat="false" ht="30" hidden="false" customHeight="true" outlineLevel="0" collapsed="false">
      <c r="A19" s="26" t="s">
        <v>417</v>
      </c>
      <c r="B19" s="82" t="n">
        <f aca="false">IFERROR((B14-I7)/(I5-I7),"n/a")</f>
        <v>0.281972745400805</v>
      </c>
      <c r="C19" s="41" t="s">
        <v>418</v>
      </c>
      <c r="D19" s="41"/>
      <c r="E19" s="41"/>
      <c r="F19" s="41"/>
      <c r="G19" s="41"/>
      <c r="H19" s="41"/>
      <c r="I19" s="41"/>
      <c r="J19" s="41"/>
      <c r="K19" s="41"/>
    </row>
    <row r="21" customFormat="false" ht="15" hidden="false" customHeight="true" outlineLevel="0" collapsed="false">
      <c r="A21" s="8" t="s">
        <v>419</v>
      </c>
      <c r="B21" s="8"/>
      <c r="C21" s="8"/>
      <c r="D21" s="8"/>
      <c r="E21" s="8"/>
      <c r="F21" s="8"/>
      <c r="G21" s="8"/>
      <c r="H21" s="8"/>
      <c r="I21" s="8"/>
      <c r="J21" s="8"/>
      <c r="K21" s="8"/>
    </row>
    <row r="22" customFormat="false" ht="15" hidden="false" customHeight="true" outlineLevel="0" collapsed="false">
      <c r="A22" s="66" t="s">
        <v>420</v>
      </c>
      <c r="B22" s="10" t="s">
        <v>421</v>
      </c>
      <c r="C22" s="10"/>
      <c r="D22" s="10"/>
      <c r="E22" s="10"/>
      <c r="F22" s="10"/>
      <c r="G22" s="10"/>
      <c r="H22" s="10"/>
      <c r="I22" s="10"/>
      <c r="J22" s="10"/>
      <c r="K22" s="10"/>
    </row>
    <row r="23" customFormat="false" ht="15" hidden="false" customHeight="true" outlineLevel="0" collapsed="false">
      <c r="A23" s="66" t="s">
        <v>422</v>
      </c>
      <c r="B23" s="10" t="s">
        <v>423</v>
      </c>
      <c r="C23" s="10"/>
      <c r="D23" s="10"/>
      <c r="E23" s="10"/>
      <c r="F23" s="10"/>
      <c r="G23" s="10"/>
      <c r="H23" s="10"/>
      <c r="I23" s="10"/>
      <c r="J23" s="10"/>
      <c r="K23" s="10"/>
    </row>
    <row r="24" customFormat="false" ht="15" hidden="false" customHeight="true" outlineLevel="0" collapsed="false">
      <c r="A24" s="66" t="s">
        <v>424</v>
      </c>
      <c r="B24" s="10" t="s">
        <v>425</v>
      </c>
      <c r="C24" s="10"/>
      <c r="D24" s="10"/>
      <c r="E24" s="10"/>
      <c r="F24" s="10"/>
      <c r="G24" s="10"/>
      <c r="H24" s="10"/>
      <c r="I24" s="10"/>
      <c r="J24" s="10"/>
      <c r="K24" s="10"/>
    </row>
    <row r="26" customFormat="false" ht="15" hidden="false" customHeight="true" outlineLevel="0" collapsed="false">
      <c r="A26" s="13" t="s">
        <v>426</v>
      </c>
      <c r="B26" s="13"/>
      <c r="C26" s="13"/>
      <c r="D26" s="13"/>
      <c r="E26" s="13"/>
      <c r="F26" s="13"/>
      <c r="G26" s="13"/>
      <c r="H26" s="13"/>
      <c r="I26" s="13"/>
      <c r="J26" s="13"/>
    </row>
    <row r="27" customFormat="false" ht="15" hidden="false" customHeight="true" outlineLevel="0" collapsed="false">
      <c r="A27" s="13" t="s">
        <v>427</v>
      </c>
      <c r="B27" s="13"/>
      <c r="C27" s="13"/>
      <c r="D27" s="13"/>
      <c r="E27" s="13"/>
      <c r="F27" s="13"/>
      <c r="G27" s="13"/>
      <c r="H27" s="13"/>
      <c r="I27" s="13"/>
      <c r="J27" s="13"/>
    </row>
    <row r="28" customFormat="false" ht="16.5" hidden="false" customHeight="true" outlineLevel="0" collapsed="false">
      <c r="A28" s="14" t="s">
        <v>428</v>
      </c>
      <c r="B28" s="14"/>
      <c r="C28" s="14"/>
      <c r="D28" s="14"/>
      <c r="E28" s="14"/>
      <c r="F28" s="14"/>
      <c r="G28" s="14"/>
      <c r="H28" s="14"/>
      <c r="I28" s="14"/>
      <c r="J28" s="14"/>
    </row>
    <row r="29" customFormat="false" ht="15" hidden="false" customHeight="true" outlineLevel="0" collapsed="false">
      <c r="A29" s="13" t="s">
        <v>429</v>
      </c>
      <c r="B29" s="13"/>
      <c r="C29" s="13"/>
      <c r="D29" s="13"/>
      <c r="E29" s="13"/>
      <c r="F29" s="13"/>
      <c r="G29" s="13"/>
      <c r="H29" s="13"/>
      <c r="I29" s="13"/>
      <c r="J29" s="13"/>
    </row>
    <row r="30" customFormat="false" ht="15.75" hidden="false" customHeight="true" outlineLevel="0" collapsed="false"/>
    <row r="31" customFormat="false" ht="15.75" hidden="false" customHeight="true" outlineLevel="0" collapsed="false"/>
    <row r="32" customFormat="false" ht="15.75" hidden="false" customHeight="true" outlineLevel="0" collapsed="false">
      <c r="A32" s="100" t="s">
        <v>430</v>
      </c>
      <c r="B32" s="16"/>
      <c r="C32" s="16"/>
      <c r="D32" s="16"/>
      <c r="E32" s="16"/>
      <c r="F32" s="16"/>
      <c r="G32" s="16"/>
      <c r="H32" s="16"/>
      <c r="I32" s="16"/>
      <c r="J32" s="16"/>
      <c r="K32" s="16"/>
    </row>
    <row r="33" customFormat="false" ht="15.75" hidden="false" customHeight="true" outlineLevel="0" collapsed="false">
      <c r="A33" s="20" t="s">
        <v>431</v>
      </c>
    </row>
    <row r="34" customFormat="false" ht="15.75" hidden="false" customHeight="true" outlineLevel="0" collapsed="false">
      <c r="A34" s="101"/>
      <c r="B34" s="102"/>
      <c r="C34" s="103"/>
      <c r="D34" s="102"/>
      <c r="E34" s="102"/>
      <c r="F34" s="103"/>
    </row>
    <row r="35" customFormat="false" ht="15.75" hidden="false" customHeight="true" outlineLevel="0" collapsed="false">
      <c r="A35" s="17" t="s">
        <v>432</v>
      </c>
      <c r="B35" s="104"/>
      <c r="C35" s="105"/>
      <c r="D35" s="105"/>
      <c r="E35" s="105"/>
      <c r="F35" s="105"/>
      <c r="H35" s="20"/>
    </row>
    <row r="36" customFormat="false" ht="15.75" hidden="false" customHeight="true" outlineLevel="0" collapsed="false">
      <c r="A36" s="21" t="s">
        <v>433</v>
      </c>
      <c r="B36" s="106" t="n">
        <f aca="false">MixPath!D19</f>
        <v>0.152173913043478</v>
      </c>
      <c r="C36" s="107" t="s">
        <v>434</v>
      </c>
      <c r="D36" s="105"/>
      <c r="E36" s="105"/>
      <c r="F36" s="105"/>
      <c r="H36" s="20"/>
    </row>
    <row r="37" customFormat="false" ht="15.75" hidden="false" customHeight="true" outlineLevel="0" collapsed="false">
      <c r="A37" s="21" t="s">
        <v>435</v>
      </c>
      <c r="B37" s="106" t="n">
        <f aca="false">MixPath!D8</f>
        <v>0.8</v>
      </c>
      <c r="C37" s="105"/>
      <c r="D37" s="105"/>
      <c r="E37" s="105"/>
      <c r="F37" s="105"/>
      <c r="H37" s="20"/>
    </row>
    <row r="38" customFormat="false" ht="15.75" hidden="false" customHeight="true" outlineLevel="0" collapsed="false">
      <c r="A38" s="18" t="s">
        <v>436</v>
      </c>
      <c r="B38" s="108" t="n">
        <f aca="false">MixPath!B15</f>
        <v>4.39</v>
      </c>
      <c r="C38" s="22" t="s">
        <v>437</v>
      </c>
    </row>
    <row r="39" customFormat="false" ht="15.75" hidden="false" customHeight="true" outlineLevel="0" collapsed="false">
      <c r="A39" s="18" t="s">
        <v>438</v>
      </c>
      <c r="B39" s="109" t="n">
        <f aca="false">SegmentMargin!D6</f>
        <v>0.777777777777778</v>
      </c>
      <c r="C39" s="22" t="s">
        <v>439</v>
      </c>
    </row>
    <row r="40" customFormat="false" ht="15.75" hidden="false" customHeight="true" outlineLevel="0" collapsed="false">
      <c r="A40" s="18" t="s">
        <v>440</v>
      </c>
      <c r="B40" s="109" t="n">
        <f aca="false">SegmentMargin!D7</f>
        <v>0.75</v>
      </c>
      <c r="C40" s="22" t="s">
        <v>439</v>
      </c>
    </row>
    <row r="41" customFormat="false" ht="15.75" hidden="false" customHeight="true" outlineLevel="0" collapsed="false">
      <c r="A41" s="18" t="s">
        <v>441</v>
      </c>
      <c r="B41" s="109" t="n">
        <f aca="false">SegmentMargin!D8</f>
        <v>0.444444444444444</v>
      </c>
      <c r="C41" s="22" t="s">
        <v>439</v>
      </c>
    </row>
    <row r="42" customFormat="false" ht="15.75" hidden="false" customHeight="true" outlineLevel="0" collapsed="false">
      <c r="A42" s="18" t="s">
        <v>442</v>
      </c>
      <c r="B42" s="110" t="n">
        <f aca="false">Consensus!F6</f>
        <v>285117</v>
      </c>
      <c r="C42" s="22" t="s">
        <v>443</v>
      </c>
    </row>
    <row r="43" customFormat="false" ht="15.75" hidden="false" customHeight="true" outlineLevel="0" collapsed="false">
      <c r="A43" s="18" t="s">
        <v>444</v>
      </c>
      <c r="B43" s="109" t="n">
        <f aca="false">ROE_Build!B5</f>
        <v>0.145</v>
      </c>
    </row>
    <row r="44" customFormat="false" ht="15.75" hidden="false" customHeight="true" outlineLevel="0" collapsed="false">
      <c r="A44" s="18" t="s">
        <v>445</v>
      </c>
      <c r="B44" s="110" t="n">
        <f aca="false">Assumptions!B6</f>
        <v>1130</v>
      </c>
    </row>
    <row r="45" customFormat="false" ht="15.75" hidden="false" customHeight="true" outlineLevel="0" collapsed="false"/>
    <row r="46" customFormat="false" ht="15.75" hidden="false" customHeight="true" outlineLevel="0" collapsed="false">
      <c r="A46" s="17" t="s">
        <v>446</v>
      </c>
    </row>
    <row r="47" customFormat="false" ht="15.75" hidden="false" customHeight="true" outlineLevel="0" collapsed="false">
      <c r="A47" s="101" t="s">
        <v>447</v>
      </c>
      <c r="B47" s="103" t="s">
        <v>448</v>
      </c>
      <c r="C47" s="102" t="s">
        <v>449</v>
      </c>
      <c r="D47" s="102" t="s">
        <v>450</v>
      </c>
      <c r="E47" s="101" t="s">
        <v>451</v>
      </c>
      <c r="F47" s="103"/>
      <c r="G47" s="103"/>
    </row>
    <row r="48" customFormat="false" ht="15.75" hidden="false" customHeight="true" outlineLevel="0" collapsed="false">
      <c r="A48" s="17" t="s">
        <v>400</v>
      </c>
      <c r="B48" s="104" t="n">
        <v>1.15</v>
      </c>
      <c r="C48" s="104" t="n">
        <v>1.35</v>
      </c>
      <c r="D48" s="104" t="n">
        <v>1</v>
      </c>
      <c r="E48" s="111" t="s">
        <v>452</v>
      </c>
      <c r="F48" s="112"/>
      <c r="G48" s="113"/>
    </row>
    <row r="49" customFormat="false" ht="15.75" hidden="false" customHeight="true" outlineLevel="0" collapsed="false">
      <c r="A49" s="17" t="s">
        <v>402</v>
      </c>
      <c r="B49" s="104" t="n">
        <v>1</v>
      </c>
      <c r="C49" s="104" t="n">
        <v>1</v>
      </c>
      <c r="D49" s="104" t="n">
        <v>1</v>
      </c>
      <c r="E49" s="114" t="s">
        <v>453</v>
      </c>
      <c r="F49" s="112"/>
      <c r="G49" s="113"/>
    </row>
    <row r="50" customFormat="false" ht="15.75" hidden="false" customHeight="true" outlineLevel="0" collapsed="false">
      <c r="A50" s="17" t="s">
        <v>404</v>
      </c>
      <c r="B50" s="104" t="n">
        <v>0.35</v>
      </c>
      <c r="C50" s="104" t="n">
        <v>0.6</v>
      </c>
      <c r="D50" s="104" t="n">
        <v>0.55</v>
      </c>
      <c r="E50" s="111" t="s">
        <v>454</v>
      </c>
      <c r="F50" s="112"/>
      <c r="G50" s="113"/>
    </row>
    <row r="51" customFormat="false" ht="15.75" hidden="false" customHeight="true" outlineLevel="0" collapsed="false"/>
    <row r="52" customFormat="false" ht="15.75" hidden="false" customHeight="true" outlineLevel="0" collapsed="false">
      <c r="A52" s="17" t="s">
        <v>455</v>
      </c>
      <c r="B52" s="115"/>
      <c r="C52" s="20"/>
    </row>
    <row r="53" customFormat="false" ht="15.75" hidden="false" customHeight="true" outlineLevel="0" collapsed="false">
      <c r="A53" s="101" t="s">
        <v>447</v>
      </c>
      <c r="B53" s="103" t="s">
        <v>456</v>
      </c>
      <c r="C53" s="102" t="s">
        <v>457</v>
      </c>
      <c r="D53" s="103" t="s">
        <v>458</v>
      </c>
      <c r="E53" s="103" t="s">
        <v>459</v>
      </c>
      <c r="F53" s="103" t="s">
        <v>460</v>
      </c>
      <c r="G53" s="103" t="s">
        <v>461</v>
      </c>
      <c r="H53" s="102" t="s">
        <v>462</v>
      </c>
      <c r="I53" s="103" t="s">
        <v>463</v>
      </c>
      <c r="J53" s="103" t="s">
        <v>278</v>
      </c>
    </row>
    <row r="54" customFormat="false" ht="15.75" hidden="false" customHeight="true" outlineLevel="0" collapsed="false">
      <c r="A54" s="19" t="str">
        <f aca="false">A48</f>
        <v>Bull</v>
      </c>
      <c r="B54" s="116" t="n">
        <f aca="false">$B$38*$C$48/$B$48</f>
        <v>5.15347826086957</v>
      </c>
      <c r="C54" s="112" t="n">
        <f aca="false">(($B$36*$B$38*$C$48)/($B$36*$B$38+(1-$B$36))*$B$37)/E54</f>
        <v>0.399790879654614</v>
      </c>
      <c r="D54" s="112" t="n">
        <f aca="false">(((1-$B$36)*$B$48)/($B$36*$B$38+(1-$B$36))*$B$37)/E54</f>
        <v>0.432214170071698</v>
      </c>
      <c r="E54" s="117" t="n">
        <f aca="false">((($B$36*$B$38*$C$48)+((1-$B$36)*$B$48))/($B$36*$B$38+(1-$B$36))*$B$37)+((1-$B$37)*$D$48)</f>
        <v>1.19051197475979</v>
      </c>
      <c r="F54" s="113" t="n">
        <f aca="false">$B$42*E54</f>
        <v>339435.202707586</v>
      </c>
      <c r="G54" s="112" t="n">
        <f aca="false">1-(1-$B$39)/$B$48</f>
        <v>0.806763285024155</v>
      </c>
      <c r="H54" s="112" t="n">
        <f aca="false">1-(1-$B$40)/$C$48</f>
        <v>0.814814814814815</v>
      </c>
      <c r="I54" s="117" t="n">
        <f aca="false">D54*G54+C54*H54+(1-C54-D54)*(1-(1-$B$41)/$D$48)</f>
        <v>0.74911447759532</v>
      </c>
      <c r="J54" s="112" t="n">
        <f aca="false">I54*(1-$B$43)</f>
        <v>0.640492878343998</v>
      </c>
    </row>
    <row r="55" customFormat="false" ht="15.75" hidden="false" customHeight="true" outlineLevel="0" collapsed="false">
      <c r="A55" s="19" t="str">
        <f aca="false">A49</f>
        <v>Base</v>
      </c>
      <c r="B55" s="116" t="n">
        <f aca="false">$B$38*$C$49/$B$49</f>
        <v>4.39</v>
      </c>
      <c r="C55" s="112" t="n">
        <f aca="false">(($B$36*$B$38*$C$49)/($B$36*$B$38+(1-$B$36))*$B$37)/E55</f>
        <v>0.352559873798939</v>
      </c>
      <c r="D55" s="112" t="n">
        <f aca="false">(((1-$B$36)*$B$49)/($B$36*$B$38+(1-$B$36))*$B$37)/E55</f>
        <v>0.447440126201061</v>
      </c>
      <c r="E55" s="117" t="n">
        <f aca="false">((($B$36*$B$38*$C$49)+((1-$B$36)*$B$49))/($B$36*$B$38+(1-$B$36))*$B$37)+((1-$B$37)*$D$49)</f>
        <v>1</v>
      </c>
      <c r="F55" s="113" t="n">
        <f aca="false">$B$42*E55</f>
        <v>285117</v>
      </c>
      <c r="G55" s="112" t="n">
        <f aca="false">1-(1-$B$39)/$B$49</f>
        <v>0.777777777777778</v>
      </c>
      <c r="H55" s="112" t="n">
        <f aca="false">1-(1-$B$40)/$C$49</f>
        <v>0.75</v>
      </c>
      <c r="I55" s="117" t="n">
        <f aca="false">D55*G55+C55*H55+(1-C55-D55)*(1-(1-$B$41)/$D$49)</f>
        <v>0.701317781283363</v>
      </c>
      <c r="J55" s="112" t="n">
        <f aca="false">I55*(1-$B$43)</f>
        <v>0.599626702997275</v>
      </c>
    </row>
    <row r="56" customFormat="false" ht="15.75" hidden="false" customHeight="true" outlineLevel="0" collapsed="false">
      <c r="A56" s="17" t="str">
        <f aca="false">A50</f>
        <v>Bear</v>
      </c>
      <c r="B56" s="116" t="n">
        <f aca="false">$B$38*$C$50/$B$50</f>
        <v>7.52571428571429</v>
      </c>
      <c r="C56" s="112" t="n">
        <f aca="false">(($B$36*$B$38*$C$50)/($B$36*$B$38+(1-$B$36))*$B$37)/E56</f>
        <v>0.442414226455953</v>
      </c>
      <c r="D56" s="112" t="n">
        <f aca="false">(((1-$B$36)*$B$50)/($B$36*$B$38+(1-$B$36))*$B$37)/E56</f>
        <v>0.327527616396776</v>
      </c>
      <c r="E56" s="117" t="n">
        <f aca="false">((($B$36*$B$38*$C$50)+((1-$B$36)*$B$50))/($B$36*$B$38+(1-$B$36))*$B$37)+((1-$B$37)*$D$50)</f>
        <v>0.478139968449735</v>
      </c>
      <c r="F56" s="113" t="n">
        <f aca="false">$B$42*E56</f>
        <v>136325.833384483</v>
      </c>
      <c r="G56" s="112" t="n">
        <f aca="false">1-(1-$B$39)/$B$50</f>
        <v>0.365079365079365</v>
      </c>
      <c r="H56" s="112" t="n">
        <f aca="false">1-(1-$B$40)/$C$50</f>
        <v>0.583333333333333</v>
      </c>
      <c r="I56" s="117" t="n">
        <f aca="false">D56*G56+C56*H56+(1-C56-D56)*(1-(1-$B$41)/$D$50)</f>
        <v>0.375324719903568</v>
      </c>
      <c r="J56" s="112" t="n">
        <f aca="false">I56*(1-$B$43)</f>
        <v>0.320902635517551</v>
      </c>
    </row>
    <row r="57" customFormat="false" ht="15.75" hidden="false" customHeight="true" outlineLevel="0" collapsed="false"/>
    <row r="58" customFormat="false" ht="15.75" hidden="false" customHeight="true" outlineLevel="0" collapsed="false">
      <c r="A58" s="20" t="s">
        <v>464</v>
      </c>
    </row>
    <row r="59" customFormat="false" ht="15.75" hidden="false" customHeight="true" outlineLevel="0" collapsed="false">
      <c r="A59" s="20" t="s">
        <v>465</v>
      </c>
    </row>
    <row r="60" customFormat="false" ht="15.75" hidden="false" customHeight="true" outlineLevel="0" collapsed="false">
      <c r="A60" s="20" t="s">
        <v>466</v>
      </c>
    </row>
    <row r="61" customFormat="false" ht="15.75" hidden="false" customHeight="true" outlineLevel="0" collapsed="false">
      <c r="A61" s="20" t="s">
        <v>467</v>
      </c>
    </row>
    <row r="62" customFormat="false" ht="15.75" hidden="false" customHeight="true" outlineLevel="0" collapsed="false">
      <c r="A62" s="22" t="s">
        <v>468</v>
      </c>
    </row>
    <row r="63" customFormat="false" ht="15.75" hidden="false" customHeight="true" outlineLevel="0" collapsed="false">
      <c r="A63" s="22" t="s">
        <v>469</v>
      </c>
    </row>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mergeCells count="21">
    <mergeCell ref="A1:J1"/>
    <mergeCell ref="A3:K3"/>
    <mergeCell ref="A8:I8"/>
    <mergeCell ref="A9:J9"/>
    <mergeCell ref="A10:J10"/>
    <mergeCell ref="A12:K12"/>
    <mergeCell ref="C13:K13"/>
    <mergeCell ref="C14:K14"/>
    <mergeCell ref="C15:K15"/>
    <mergeCell ref="C16:K16"/>
    <mergeCell ref="C17:K17"/>
    <mergeCell ref="C18:K18"/>
    <mergeCell ref="C19:K19"/>
    <mergeCell ref="A21:K21"/>
    <mergeCell ref="B22:K22"/>
    <mergeCell ref="B23:K23"/>
    <mergeCell ref="B24:K24"/>
    <mergeCell ref="A26:J26"/>
    <mergeCell ref="A27:J27"/>
    <mergeCell ref="A28:J28"/>
    <mergeCell ref="A29:J2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C6" activeCellId="0" sqref="C6"/>
    </sheetView>
  </sheetViews>
  <sheetFormatPr defaultColWidth="12.62890625" defaultRowHeight="15" customHeight="true" zeroHeight="false" outlineLevelRow="0" outlineLevelCol="0"/>
  <cols>
    <col collapsed="false" customWidth="true" hidden="false" outlineLevel="0" max="1" min="1" style="1" width="24"/>
    <col collapsed="false" customWidth="true" hidden="false" outlineLevel="0" max="2" min="2" style="1" width="11"/>
    <col collapsed="false" customWidth="true" hidden="false" outlineLevel="0" max="8" min="3" style="1" width="14"/>
    <col collapsed="false" customWidth="true" hidden="false" outlineLevel="0" max="26" min="9" style="1" width="8.5"/>
  </cols>
  <sheetData>
    <row r="1" customFormat="false" ht="24" hidden="false" customHeight="true" outlineLevel="0" collapsed="false">
      <c r="A1" s="23" t="s">
        <v>470</v>
      </c>
      <c r="B1" s="23"/>
      <c r="C1" s="23"/>
      <c r="D1" s="23"/>
      <c r="E1" s="23"/>
      <c r="F1" s="23"/>
      <c r="G1" s="23"/>
      <c r="H1" s="23"/>
    </row>
    <row r="2" customFormat="false" ht="13.5" hidden="false" customHeight="true" outlineLevel="0" collapsed="false">
      <c r="A2" s="13" t="s">
        <v>471</v>
      </c>
      <c r="B2" s="13"/>
      <c r="C2" s="13"/>
      <c r="D2" s="13"/>
      <c r="E2" s="13"/>
      <c r="F2" s="13"/>
      <c r="G2" s="13"/>
      <c r="H2" s="13"/>
    </row>
    <row r="4" customFormat="false" ht="16.5" hidden="false" customHeight="true" outlineLevel="0" collapsed="false">
      <c r="A4" s="8" t="s">
        <v>472</v>
      </c>
      <c r="B4" s="8"/>
      <c r="C4" s="8"/>
      <c r="D4" s="8"/>
      <c r="E4" s="8"/>
      <c r="F4" s="8"/>
      <c r="G4" s="8"/>
      <c r="H4" s="8"/>
    </row>
    <row r="5" customFormat="false" ht="15" hidden="false" customHeight="true" outlineLevel="0" collapsed="false">
      <c r="A5" s="61" t="s">
        <v>182</v>
      </c>
      <c r="B5" s="61" t="s">
        <v>447</v>
      </c>
      <c r="C5" s="62" t="s">
        <v>473</v>
      </c>
      <c r="D5" s="62" t="s">
        <v>474</v>
      </c>
      <c r="E5" s="62" t="s">
        <v>475</v>
      </c>
      <c r="F5" s="62" t="s">
        <v>476</v>
      </c>
      <c r="G5" s="62" t="s">
        <v>477</v>
      </c>
      <c r="H5" s="61" t="s">
        <v>248</v>
      </c>
    </row>
    <row r="6" customFormat="false" ht="15" hidden="false" customHeight="true" outlineLevel="0" collapsed="false">
      <c r="A6" s="63" t="s">
        <v>270</v>
      </c>
      <c r="B6" s="10" t="s">
        <v>478</v>
      </c>
      <c r="C6" s="42" t="n">
        <v>37378</v>
      </c>
      <c r="D6" s="42" t="n">
        <v>129459</v>
      </c>
      <c r="E6" s="42" t="n">
        <v>246699</v>
      </c>
      <c r="F6" s="64" t="n">
        <v>285117</v>
      </c>
      <c r="G6" s="42" t="n">
        <v>289549</v>
      </c>
      <c r="H6" s="44" t="s">
        <v>479</v>
      </c>
    </row>
    <row r="7" customFormat="false" ht="15" hidden="false" customHeight="true" outlineLevel="0" collapsed="false">
      <c r="A7" s="10"/>
      <c r="B7" s="41" t="s">
        <v>480</v>
      </c>
      <c r="C7" s="118"/>
      <c r="D7" s="118" t="n">
        <v>45</v>
      </c>
      <c r="E7" s="118" t="n">
        <v>46</v>
      </c>
      <c r="F7" s="119" t="n">
        <v>31</v>
      </c>
      <c r="G7" s="118" t="n">
        <v>5</v>
      </c>
      <c r="H7" s="44" t="s">
        <v>481</v>
      </c>
    </row>
    <row r="8" customFormat="false" ht="15" hidden="false" customHeight="true" outlineLevel="0" collapsed="false">
      <c r="A8" s="63" t="s">
        <v>482</v>
      </c>
      <c r="B8" s="10" t="s">
        <v>478</v>
      </c>
      <c r="C8" s="42" t="n">
        <v>15288</v>
      </c>
      <c r="D8" s="42" t="n">
        <v>103973</v>
      </c>
      <c r="E8" s="42" t="n">
        <v>215170</v>
      </c>
      <c r="F8" s="64" t="n">
        <v>230379</v>
      </c>
      <c r="G8" s="42" t="n">
        <v>180733</v>
      </c>
      <c r="H8" s="41"/>
    </row>
    <row r="9" customFormat="false" ht="15" hidden="false" customHeight="true" outlineLevel="0" collapsed="false">
      <c r="A9" s="10" t="s">
        <v>483</v>
      </c>
      <c r="B9" s="50" t="s">
        <v>205</v>
      </c>
      <c r="C9" s="60" t="n">
        <v>0.409</v>
      </c>
      <c r="D9" s="60" t="n">
        <v>0.805</v>
      </c>
      <c r="E9" s="60" t="n">
        <v>0.8607</v>
      </c>
      <c r="F9" s="69" t="n">
        <v>0.803</v>
      </c>
      <c r="G9" s="60" t="n">
        <v>0.672</v>
      </c>
      <c r="H9" s="44" t="s">
        <v>484</v>
      </c>
    </row>
    <row r="10" customFormat="false" ht="15" hidden="false" customHeight="true" outlineLevel="0" collapsed="false">
      <c r="A10" s="66" t="s">
        <v>485</v>
      </c>
      <c r="B10" s="10" t="s">
        <v>478</v>
      </c>
      <c r="C10" s="42" t="n">
        <v>10846</v>
      </c>
      <c r="D10" s="42" t="n">
        <v>98022</v>
      </c>
      <c r="E10" s="42" t="n">
        <v>205831</v>
      </c>
      <c r="F10" s="64" t="n">
        <v>223740</v>
      </c>
      <c r="G10" s="42" t="n">
        <v>188829</v>
      </c>
      <c r="H10" s="41"/>
    </row>
    <row r="11" customFormat="false" ht="15" hidden="false" customHeight="true" outlineLevel="0" collapsed="false">
      <c r="A11" s="50" t="s">
        <v>486</v>
      </c>
      <c r="B11" s="50" t="s">
        <v>205</v>
      </c>
      <c r="C11" s="60" t="n">
        <v>0.2902</v>
      </c>
      <c r="D11" s="60" t="n">
        <v>0.7589</v>
      </c>
      <c r="E11" s="60" t="n">
        <v>0.8233</v>
      </c>
      <c r="F11" s="69" t="n">
        <v>0.7799</v>
      </c>
      <c r="G11" s="60" t="n">
        <v>0.7021</v>
      </c>
      <c r="H11" s="41"/>
    </row>
    <row r="12" customFormat="false" ht="15" hidden="false" customHeight="true" outlineLevel="0" collapsed="false">
      <c r="A12" s="66" t="s">
        <v>487</v>
      </c>
      <c r="B12" s="10" t="s">
        <v>478</v>
      </c>
      <c r="C12" s="42" t="n">
        <v>19198</v>
      </c>
      <c r="D12" s="42" t="n">
        <v>107951</v>
      </c>
      <c r="E12" s="42" t="n">
        <v>222099</v>
      </c>
      <c r="F12" s="64" t="n">
        <v>246363</v>
      </c>
      <c r="G12" s="42" t="n">
        <v>213073</v>
      </c>
      <c r="H12" s="41"/>
    </row>
    <row r="13" customFormat="false" ht="15" hidden="false" customHeight="true" outlineLevel="0" collapsed="false">
      <c r="A13" s="50" t="s">
        <v>488</v>
      </c>
      <c r="B13" s="50" t="s">
        <v>205</v>
      </c>
      <c r="C13" s="60" t="n">
        <v>0.5136</v>
      </c>
      <c r="D13" s="60" t="n">
        <v>0.8358</v>
      </c>
      <c r="E13" s="60" t="n">
        <v>0.8884</v>
      </c>
      <c r="F13" s="69" t="n">
        <v>0.8587</v>
      </c>
      <c r="G13" s="60" t="n">
        <v>0.7922</v>
      </c>
      <c r="H13" s="41"/>
    </row>
    <row r="14" customFormat="false" ht="15" hidden="false" customHeight="true" outlineLevel="0" collapsed="false">
      <c r="A14" s="63" t="s">
        <v>489</v>
      </c>
      <c r="B14" s="10" t="s">
        <v>478</v>
      </c>
      <c r="C14" s="42" t="n">
        <v>10785</v>
      </c>
      <c r="D14" s="42" t="n">
        <v>98737</v>
      </c>
      <c r="E14" s="42" t="n">
        <v>208426</v>
      </c>
      <c r="F14" s="64" t="n">
        <v>219435</v>
      </c>
      <c r="G14" s="42" t="n">
        <v>220433</v>
      </c>
      <c r="H14" s="41"/>
    </row>
    <row r="15" customFormat="false" ht="15" hidden="false" customHeight="true" outlineLevel="0" collapsed="false">
      <c r="A15" s="63" t="s">
        <v>272</v>
      </c>
      <c r="B15" s="10" t="s">
        <v>478</v>
      </c>
      <c r="C15" s="42" t="n">
        <v>9470</v>
      </c>
      <c r="D15" s="42" t="n">
        <v>84014</v>
      </c>
      <c r="E15" s="42" t="n">
        <v>176699</v>
      </c>
      <c r="F15" s="64" t="n">
        <v>189388</v>
      </c>
      <c r="G15" s="42" t="n">
        <v>160492</v>
      </c>
      <c r="H15" s="41"/>
    </row>
    <row r="16" customFormat="false" ht="15" hidden="false" customHeight="true" outlineLevel="0" collapsed="false">
      <c r="A16" s="10" t="s">
        <v>490</v>
      </c>
      <c r="B16" s="50" t="s">
        <v>205</v>
      </c>
      <c r="C16" s="60" t="n">
        <v>0.2534</v>
      </c>
      <c r="D16" s="60" t="n">
        <v>0.6505</v>
      </c>
      <c r="E16" s="60" t="n">
        <v>0.7068</v>
      </c>
      <c r="F16" s="69" t="n">
        <v>0.6601</v>
      </c>
      <c r="G16" s="60" t="n">
        <v>0.5967</v>
      </c>
      <c r="H16" s="44" t="s">
        <v>491</v>
      </c>
    </row>
    <row r="17" customFormat="false" ht="15" hidden="false" customHeight="true" outlineLevel="0" collapsed="false">
      <c r="A17" s="10"/>
      <c r="B17" s="41" t="s">
        <v>480</v>
      </c>
      <c r="C17" s="118"/>
      <c r="D17" s="118" t="n">
        <v>39</v>
      </c>
      <c r="E17" s="118" t="n">
        <v>39</v>
      </c>
      <c r="F17" s="119" t="n">
        <v>26</v>
      </c>
      <c r="G17" s="118" t="n">
        <v>3</v>
      </c>
      <c r="H17" s="41"/>
    </row>
    <row r="18" customFormat="false" ht="15" hidden="false" customHeight="true" outlineLevel="0" collapsed="false">
      <c r="A18" s="66" t="s">
        <v>492</v>
      </c>
      <c r="B18" s="10" t="s">
        <v>478</v>
      </c>
      <c r="C18" s="39" t="n">
        <v>8.29</v>
      </c>
      <c r="D18" s="39" t="n">
        <v>73.13</v>
      </c>
      <c r="E18" s="39" t="n">
        <v>154.66</v>
      </c>
      <c r="F18" s="67" t="n">
        <v>170.38</v>
      </c>
      <c r="G18" s="39" t="n">
        <v>141.59</v>
      </c>
      <c r="H18" s="41" t="s">
        <v>493</v>
      </c>
    </row>
    <row r="19" customFormat="false" ht="15" hidden="false" customHeight="true" outlineLevel="0" collapsed="false">
      <c r="A19" s="10"/>
      <c r="B19" s="41" t="s">
        <v>480</v>
      </c>
      <c r="C19" s="118"/>
      <c r="D19" s="118" t="n">
        <v>47</v>
      </c>
      <c r="E19" s="118" t="n">
        <v>47</v>
      </c>
      <c r="F19" s="119" t="n">
        <v>31</v>
      </c>
      <c r="G19" s="118" t="n">
        <v>4</v>
      </c>
      <c r="H19" s="41"/>
    </row>
    <row r="20" customFormat="false" ht="15" hidden="false" customHeight="true" outlineLevel="0" collapsed="false">
      <c r="A20" s="66" t="s">
        <v>494</v>
      </c>
      <c r="B20" s="10" t="s">
        <v>478</v>
      </c>
      <c r="C20" s="39" t="n">
        <v>7.59</v>
      </c>
      <c r="D20" s="39" t="n">
        <v>72.27</v>
      </c>
      <c r="E20" s="39" t="n">
        <v>153.65</v>
      </c>
      <c r="F20" s="67" t="n">
        <v>176.84</v>
      </c>
      <c r="G20" s="39" t="n">
        <v>101.54</v>
      </c>
      <c r="H20" s="41"/>
    </row>
    <row r="21" customFormat="false" ht="15.75" hidden="false" customHeight="true" outlineLevel="0" collapsed="false"/>
    <row r="22" customFormat="false" ht="15" hidden="false" customHeight="true" outlineLevel="0" collapsed="false">
      <c r="A22" s="8" t="s">
        <v>495</v>
      </c>
      <c r="B22" s="8"/>
      <c r="C22" s="8"/>
      <c r="D22" s="8"/>
      <c r="E22" s="8"/>
      <c r="F22" s="8"/>
      <c r="G22" s="8"/>
      <c r="H22" s="8"/>
    </row>
    <row r="23" customFormat="false" ht="15" hidden="false" customHeight="true" outlineLevel="0" collapsed="false">
      <c r="A23" s="61" t="s">
        <v>182</v>
      </c>
      <c r="B23" s="61" t="s">
        <v>447</v>
      </c>
      <c r="C23" s="62" t="s">
        <v>473</v>
      </c>
      <c r="D23" s="62" t="s">
        <v>474</v>
      </c>
      <c r="E23" s="62" t="s">
        <v>475</v>
      </c>
      <c r="F23" s="62" t="s">
        <v>476</v>
      </c>
      <c r="G23" s="62" t="s">
        <v>477</v>
      </c>
      <c r="H23" s="61" t="s">
        <v>248</v>
      </c>
    </row>
    <row r="24" customFormat="false" ht="15" hidden="false" customHeight="true" outlineLevel="0" collapsed="false">
      <c r="A24" s="66" t="s">
        <v>496</v>
      </c>
      <c r="B24" s="10" t="s">
        <v>478</v>
      </c>
      <c r="C24" s="39" t="n">
        <v>48.4</v>
      </c>
      <c r="D24" s="39" t="n">
        <v>118.72</v>
      </c>
      <c r="E24" s="39" t="n">
        <v>259.02</v>
      </c>
      <c r="F24" s="67" t="n">
        <v>437.94</v>
      </c>
      <c r="G24" s="39" t="n">
        <v>643.7</v>
      </c>
      <c r="H24" s="44" t="s">
        <v>497</v>
      </c>
    </row>
    <row r="25" customFormat="false" ht="15" hidden="false" customHeight="true" outlineLevel="0" collapsed="false">
      <c r="A25" s="10"/>
      <c r="B25" s="41" t="s">
        <v>480</v>
      </c>
      <c r="C25" s="120" t="s">
        <v>208</v>
      </c>
      <c r="D25" s="118" t="n">
        <v>16</v>
      </c>
      <c r="E25" s="118" t="n">
        <v>16</v>
      </c>
      <c r="F25" s="119" t="n">
        <v>12</v>
      </c>
      <c r="G25" s="118" t="n">
        <v>2</v>
      </c>
      <c r="H25" s="44" t="s">
        <v>498</v>
      </c>
    </row>
    <row r="26" customFormat="false" ht="15" hidden="false" customHeight="true" outlineLevel="0" collapsed="false">
      <c r="A26" s="66" t="s">
        <v>499</v>
      </c>
      <c r="B26" s="10" t="s">
        <v>478</v>
      </c>
      <c r="C26" s="39" t="n">
        <v>48.4</v>
      </c>
      <c r="D26" s="39" t="n">
        <v>122.16</v>
      </c>
      <c r="E26" s="39" t="n">
        <v>291.95</v>
      </c>
      <c r="F26" s="67" t="n">
        <v>442.77</v>
      </c>
      <c r="G26" s="120" t="s">
        <v>208</v>
      </c>
      <c r="H26" s="41" t="s">
        <v>500</v>
      </c>
    </row>
    <row r="27" customFormat="false" ht="15" hidden="false" customHeight="true" outlineLevel="0" collapsed="false">
      <c r="A27" s="66" t="s">
        <v>280</v>
      </c>
      <c r="B27" s="10" t="s">
        <v>478</v>
      </c>
      <c r="C27" s="60" t="n">
        <v>0.1907</v>
      </c>
      <c r="D27" s="60" t="n">
        <v>0.844</v>
      </c>
      <c r="E27" s="60" t="n">
        <v>0.7384</v>
      </c>
      <c r="F27" s="69" t="n">
        <v>0.4486</v>
      </c>
      <c r="G27" s="60" t="n">
        <v>0.296</v>
      </c>
      <c r="H27" s="41" t="s">
        <v>501</v>
      </c>
    </row>
    <row r="28" customFormat="false" ht="15" hidden="false" customHeight="true" outlineLevel="0" collapsed="false">
      <c r="A28" s="50" t="s">
        <v>502</v>
      </c>
      <c r="B28" s="44" t="s">
        <v>205</v>
      </c>
      <c r="C28" s="120" t="s">
        <v>208</v>
      </c>
      <c r="D28" s="60" t="n">
        <v>0.424</v>
      </c>
      <c r="E28" s="60" t="n">
        <v>0.366</v>
      </c>
      <c r="F28" s="69" t="n">
        <v>0.243</v>
      </c>
      <c r="G28" s="60" t="n">
        <v>0.148</v>
      </c>
      <c r="H28" s="41" t="s">
        <v>503</v>
      </c>
    </row>
    <row r="29" customFormat="false" ht="15" hidden="false" customHeight="true" outlineLevel="0" collapsed="false">
      <c r="A29" s="50" t="s">
        <v>504</v>
      </c>
      <c r="B29" s="44" t="s">
        <v>205</v>
      </c>
      <c r="C29" s="120" t="s">
        <v>208</v>
      </c>
      <c r="D29" s="60" t="n">
        <v>0.9098</v>
      </c>
      <c r="E29" s="60" t="n">
        <v>1.1097</v>
      </c>
      <c r="F29" s="69" t="n">
        <v>0.8632</v>
      </c>
      <c r="G29" s="60" t="n">
        <v>0.701</v>
      </c>
      <c r="H29" s="41"/>
    </row>
    <row r="30" customFormat="false" ht="15" hidden="false" customHeight="true" outlineLevel="0" collapsed="false">
      <c r="A30" s="66" t="s">
        <v>505</v>
      </c>
      <c r="B30" s="10" t="s">
        <v>478</v>
      </c>
      <c r="C30" s="60" t="n">
        <v>0.1244</v>
      </c>
      <c r="D30" s="60" t="n">
        <v>0.6521</v>
      </c>
      <c r="E30" s="60" t="n">
        <v>0.6883</v>
      </c>
      <c r="F30" s="69" t="n">
        <v>0.4467</v>
      </c>
      <c r="G30" s="60" t="n">
        <v>0.3865</v>
      </c>
      <c r="H30" s="41"/>
    </row>
    <row r="31" customFormat="false" ht="15" hidden="false" customHeight="true" outlineLevel="0" collapsed="false">
      <c r="A31" s="63" t="s">
        <v>506</v>
      </c>
      <c r="B31" s="10" t="s">
        <v>478</v>
      </c>
      <c r="C31" s="42" t="n">
        <v>4270</v>
      </c>
      <c r="D31" s="42" t="n">
        <v>-40902</v>
      </c>
      <c r="E31" s="42" t="n">
        <v>-143648</v>
      </c>
      <c r="F31" s="64" t="n">
        <v>-265525</v>
      </c>
      <c r="G31" s="42" t="n">
        <v>-318921</v>
      </c>
      <c r="H31" s="41" t="s">
        <v>507</v>
      </c>
    </row>
    <row r="32" customFormat="false" ht="15" hidden="false" customHeight="true" outlineLevel="0" collapsed="false">
      <c r="A32" s="66" t="s">
        <v>508</v>
      </c>
      <c r="B32" s="10" t="s">
        <v>478</v>
      </c>
      <c r="C32" s="42" t="n">
        <v>15857</v>
      </c>
      <c r="D32" s="42" t="n">
        <v>27701</v>
      </c>
      <c r="E32" s="42" t="n">
        <v>47089</v>
      </c>
      <c r="F32" s="64" t="n">
        <v>48000</v>
      </c>
      <c r="G32" s="42" t="n">
        <v>55461</v>
      </c>
      <c r="H32" s="44" t="s">
        <v>509</v>
      </c>
    </row>
    <row r="33" customFormat="false" ht="15" hidden="false" customHeight="true" outlineLevel="0" collapsed="false">
      <c r="A33" s="63" t="s">
        <v>510</v>
      </c>
      <c r="B33" s="10" t="s">
        <v>478</v>
      </c>
      <c r="C33" s="39" t="n">
        <v>15.33</v>
      </c>
      <c r="D33" s="39" t="n">
        <v>74.49</v>
      </c>
      <c r="E33" s="39" t="n">
        <v>160.05</v>
      </c>
      <c r="F33" s="67" t="n">
        <v>201.29</v>
      </c>
      <c r="G33" s="39" t="n">
        <v>208.67</v>
      </c>
      <c r="H33" s="41"/>
    </row>
    <row r="34" customFormat="false" ht="15.75" hidden="false" customHeight="true" outlineLevel="0" collapsed="false"/>
    <row r="35" customFormat="false" ht="15" hidden="false" customHeight="true" outlineLevel="0" collapsed="false">
      <c r="A35" s="8" t="s">
        <v>511</v>
      </c>
      <c r="B35" s="8"/>
      <c r="C35" s="8"/>
      <c r="D35" s="8"/>
      <c r="E35" s="8"/>
      <c r="F35" s="8"/>
      <c r="G35" s="8"/>
      <c r="H35" s="8"/>
    </row>
    <row r="36" customFormat="false" ht="15" hidden="false" customHeight="true" outlineLevel="0" collapsed="false">
      <c r="A36" s="61" t="s">
        <v>182</v>
      </c>
      <c r="B36" s="62" t="s">
        <v>474</v>
      </c>
      <c r="C36" s="62" t="s">
        <v>475</v>
      </c>
      <c r="D36" s="62" t="s">
        <v>476</v>
      </c>
      <c r="E36" s="62" t="s">
        <v>477</v>
      </c>
      <c r="F36" s="61" t="s">
        <v>248</v>
      </c>
    </row>
    <row r="37" customFormat="false" ht="15" hidden="false" customHeight="true" outlineLevel="0" collapsed="false">
      <c r="A37" s="10" t="s">
        <v>512</v>
      </c>
      <c r="B37" s="42" t="n">
        <v>113900</v>
      </c>
      <c r="C37" s="42" t="n">
        <v>203043</v>
      </c>
      <c r="D37" s="42" t="n">
        <v>208018</v>
      </c>
      <c r="E37" s="42" t="n">
        <v>214242</v>
      </c>
    </row>
    <row r="38" customFormat="false" ht="15" hidden="false" customHeight="true" outlineLevel="0" collapsed="false">
      <c r="A38" s="63" t="s">
        <v>513</v>
      </c>
      <c r="B38" s="64" t="n">
        <v>129459</v>
      </c>
      <c r="C38" s="64" t="n">
        <v>246699</v>
      </c>
      <c r="D38" s="64" t="n">
        <v>285117</v>
      </c>
      <c r="E38" s="64" t="n">
        <v>289549</v>
      </c>
    </row>
    <row r="39" customFormat="false" ht="15" hidden="false" customHeight="true" outlineLevel="0" collapsed="false">
      <c r="A39" s="10" t="s">
        <v>514</v>
      </c>
      <c r="B39" s="42" t="n">
        <v>138764</v>
      </c>
      <c r="C39" s="42" t="n">
        <v>342515</v>
      </c>
      <c r="D39" s="42" t="n">
        <v>405709</v>
      </c>
      <c r="E39" s="42" t="n">
        <v>303053</v>
      </c>
    </row>
    <row r="40" customFormat="false" ht="15" hidden="false" customHeight="true" outlineLevel="0" collapsed="false">
      <c r="A40" s="50" t="s">
        <v>515</v>
      </c>
      <c r="B40" s="39" t="n">
        <v>60.9</v>
      </c>
      <c r="C40" s="39" t="n">
        <v>119.4</v>
      </c>
      <c r="D40" s="39" t="n">
        <v>136</v>
      </c>
      <c r="E40" s="39" t="n">
        <v>101.94</v>
      </c>
    </row>
    <row r="41" customFormat="false" ht="15" hidden="false" customHeight="true" outlineLevel="0" collapsed="false">
      <c r="A41" s="66" t="s">
        <v>516</v>
      </c>
      <c r="B41" s="67" t="n">
        <v>73.13</v>
      </c>
      <c r="C41" s="67" t="n">
        <v>154.66</v>
      </c>
      <c r="D41" s="67" t="n">
        <v>170.38</v>
      </c>
      <c r="E41" s="67" t="n">
        <v>141.59</v>
      </c>
    </row>
    <row r="42" customFormat="false" ht="15" hidden="false" customHeight="true" outlineLevel="0" collapsed="false">
      <c r="A42" s="50" t="s">
        <v>517</v>
      </c>
      <c r="B42" s="39" t="n">
        <v>80.16</v>
      </c>
      <c r="C42" s="39" t="n">
        <v>221.27</v>
      </c>
      <c r="D42" s="39" t="n">
        <v>254.85</v>
      </c>
      <c r="E42" s="39" t="n">
        <v>185.86</v>
      </c>
    </row>
    <row r="43" customFormat="false" ht="15" hidden="false" customHeight="true" outlineLevel="0" collapsed="false">
      <c r="A43" s="50" t="s">
        <v>518</v>
      </c>
      <c r="B43" s="39" t="n">
        <v>99.71</v>
      </c>
      <c r="C43" s="39" t="n">
        <v>197.12</v>
      </c>
      <c r="D43" s="39" t="n">
        <v>311.26</v>
      </c>
      <c r="E43" s="39" t="n">
        <v>643.7</v>
      </c>
    </row>
    <row r="44" customFormat="false" ht="15" hidden="false" customHeight="true" outlineLevel="0" collapsed="false">
      <c r="A44" s="66" t="s">
        <v>519</v>
      </c>
      <c r="B44" s="67" t="n">
        <v>118.72</v>
      </c>
      <c r="C44" s="67" t="n">
        <v>259.02</v>
      </c>
      <c r="D44" s="67" t="n">
        <v>437.94</v>
      </c>
      <c r="E44" s="67" t="n">
        <v>643.7</v>
      </c>
    </row>
    <row r="45" customFormat="false" ht="15" hidden="false" customHeight="true" outlineLevel="0" collapsed="false">
      <c r="A45" s="50" t="s">
        <v>520</v>
      </c>
      <c r="B45" s="39" t="n">
        <v>125.55</v>
      </c>
      <c r="C45" s="39" t="n">
        <v>295.34</v>
      </c>
      <c r="D45" s="39" t="n">
        <v>496.34</v>
      </c>
      <c r="E45" s="39" t="n">
        <v>643.7</v>
      </c>
    </row>
    <row r="46" customFormat="false" ht="16.5" hidden="false" customHeight="true" outlineLevel="0" collapsed="false">
      <c r="A46" s="14" t="str">
        <f aca="false">"FY2028 revenue estimate range: high exceeds low by "&amp;TEXT(D39/D37-1,"0%")&amp;"; for EPS the spread is "&amp;TEXT(D42/D40-1,"0%")&amp;". This is why the consensus median alone should not be trusted."</f>
        <v>FY2028 revenue estimate range: high exceeds low by 95%; for EPS the spread is 87%. This is why the consensus median alone should not be trusted.</v>
      </c>
      <c r="B46" s="14"/>
      <c r="C46" s="14"/>
      <c r="D46" s="14"/>
      <c r="E46" s="14"/>
      <c r="F46" s="14"/>
      <c r="G46" s="14"/>
      <c r="H46" s="14"/>
    </row>
    <row r="47" customFormat="false" ht="13.5" hidden="false" customHeight="true" outlineLevel="0" collapsed="false">
      <c r="A47" s="13" t="s">
        <v>521</v>
      </c>
      <c r="B47" s="13"/>
      <c r="C47" s="13"/>
      <c r="D47" s="13"/>
      <c r="E47" s="13"/>
      <c r="F47" s="13"/>
      <c r="G47" s="13"/>
      <c r="H47" s="13"/>
    </row>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mergeCells count="7">
    <mergeCell ref="A1:H1"/>
    <mergeCell ref="A2:H2"/>
    <mergeCell ref="A4:H4"/>
    <mergeCell ref="A22:H22"/>
    <mergeCell ref="A35:H35"/>
    <mergeCell ref="A46:H46"/>
    <mergeCell ref="A47:H4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B3" activeCellId="0" sqref="B3"/>
    </sheetView>
  </sheetViews>
  <sheetFormatPr defaultColWidth="12.62890625" defaultRowHeight="15" customHeight="true" zeroHeight="false" outlineLevelRow="0" outlineLevelCol="0"/>
  <cols>
    <col collapsed="false" customWidth="true" hidden="false" outlineLevel="0" max="1" min="1" style="1" width="30"/>
    <col collapsed="false" customWidth="true" hidden="false" outlineLevel="0" max="8" min="2" style="1" width="14"/>
    <col collapsed="false" customWidth="true" hidden="false" outlineLevel="0" max="26" min="9" style="1" width="8.5"/>
  </cols>
  <sheetData>
    <row r="1" customFormat="false" ht="24" hidden="false" customHeight="true" outlineLevel="0" collapsed="false">
      <c r="A1" s="23" t="s">
        <v>522</v>
      </c>
      <c r="B1" s="23"/>
      <c r="C1" s="23"/>
      <c r="D1" s="23"/>
      <c r="E1" s="23"/>
      <c r="F1" s="23"/>
      <c r="G1" s="23"/>
      <c r="H1" s="23"/>
    </row>
    <row r="3" customFormat="false" ht="15" hidden="false" customHeight="true" outlineLevel="0" collapsed="false">
      <c r="A3" s="8" t="s">
        <v>523</v>
      </c>
      <c r="B3" s="8"/>
      <c r="C3" s="8"/>
      <c r="D3" s="8"/>
      <c r="E3" s="8"/>
      <c r="F3" s="8"/>
    </row>
    <row r="4" customFormat="false" ht="15" hidden="false" customHeight="true" outlineLevel="0" collapsed="false">
      <c r="A4" s="63" t="s">
        <v>187</v>
      </c>
      <c r="B4" s="53" t="n">
        <f aca="false">Assumptions!B5</f>
        <v>900</v>
      </c>
      <c r="C4" s="44" t="s">
        <v>380</v>
      </c>
      <c r="D4" s="44"/>
      <c r="E4" s="44"/>
      <c r="F4" s="44"/>
    </row>
    <row r="5" customFormat="false" ht="15" hidden="false" customHeight="true" outlineLevel="0" collapsed="false">
      <c r="A5" s="63" t="s">
        <v>370</v>
      </c>
      <c r="B5" s="87" t="n">
        <f aca="false">Assumptions!B6</f>
        <v>1130</v>
      </c>
      <c r="C5" s="44"/>
      <c r="D5" s="44"/>
      <c r="E5" s="44"/>
      <c r="F5" s="44"/>
    </row>
    <row r="6" customFormat="false" ht="15" hidden="false" customHeight="true" outlineLevel="0" collapsed="false">
      <c r="A6" s="63" t="s">
        <v>524</v>
      </c>
      <c r="B6" s="45" t="n">
        <f aca="false">B4*B5</f>
        <v>1017000</v>
      </c>
      <c r="C6" s="41" t="s">
        <v>199</v>
      </c>
      <c r="D6" s="41"/>
      <c r="E6" s="41"/>
      <c r="F6" s="41"/>
    </row>
    <row r="8" customFormat="false" ht="15" hidden="false" customHeight="true" outlineLevel="0" collapsed="false">
      <c r="A8" s="8" t="s">
        <v>525</v>
      </c>
      <c r="B8" s="8"/>
      <c r="C8" s="8"/>
      <c r="D8" s="8"/>
      <c r="E8" s="8"/>
      <c r="F8" s="8"/>
      <c r="G8" s="8"/>
    </row>
    <row r="9" customFormat="false" ht="15" hidden="false" customHeight="true" outlineLevel="0" collapsed="false">
      <c r="A9" s="61" t="s">
        <v>182</v>
      </c>
      <c r="B9" s="62" t="s">
        <v>473</v>
      </c>
      <c r="C9" s="62" t="s">
        <v>474</v>
      </c>
      <c r="D9" s="62" t="s">
        <v>475</v>
      </c>
      <c r="E9" s="62" t="s">
        <v>476</v>
      </c>
      <c r="F9" s="61" t="s">
        <v>248</v>
      </c>
    </row>
    <row r="10" customFormat="false" ht="15" hidden="false" customHeight="true" outlineLevel="0" collapsed="false">
      <c r="A10" s="50" t="s">
        <v>526</v>
      </c>
      <c r="B10" s="53" t="n">
        <f aca="false">Consensus!C18</f>
        <v>8.29</v>
      </c>
      <c r="C10" s="53" t="n">
        <f aca="false">Consensus!D18</f>
        <v>73.13</v>
      </c>
      <c r="D10" s="53" t="n">
        <f aca="false">Consensus!E18</f>
        <v>154.66</v>
      </c>
      <c r="E10" s="53" t="n">
        <f aca="false">Consensus!F18</f>
        <v>170.38</v>
      </c>
      <c r="F10" s="41"/>
    </row>
    <row r="11" customFormat="false" ht="15" hidden="false" customHeight="true" outlineLevel="0" collapsed="false">
      <c r="A11" s="50" t="s">
        <v>527</v>
      </c>
      <c r="B11" s="53" t="n">
        <f aca="false">Consensus!C24</f>
        <v>48.4</v>
      </c>
      <c r="C11" s="53" t="n">
        <f aca="false">Consensus!D24</f>
        <v>118.72</v>
      </c>
      <c r="D11" s="53" t="n">
        <f aca="false">Consensus!E24</f>
        <v>259.02</v>
      </c>
      <c r="E11" s="53" t="n">
        <f aca="false">Consensus!F24</f>
        <v>437.94</v>
      </c>
      <c r="F11" s="41"/>
    </row>
    <row r="12" customFormat="false" ht="15" hidden="false" customHeight="true" outlineLevel="0" collapsed="false">
      <c r="A12" s="50" t="s">
        <v>487</v>
      </c>
      <c r="B12" s="87" t="n">
        <f aca="false">Consensus!C12</f>
        <v>19198</v>
      </c>
      <c r="C12" s="87" t="n">
        <f aca="false">Consensus!D12</f>
        <v>107951</v>
      </c>
      <c r="D12" s="87" t="n">
        <f aca="false">Consensus!E12</f>
        <v>222099</v>
      </c>
      <c r="E12" s="87" t="n">
        <f aca="false">Consensus!F12</f>
        <v>246363</v>
      </c>
      <c r="F12" s="41"/>
    </row>
    <row r="13" customFormat="false" ht="15" hidden="false" customHeight="true" outlineLevel="0" collapsed="false">
      <c r="A13" s="10" t="s">
        <v>528</v>
      </c>
      <c r="B13" s="87" t="n">
        <f aca="false">Consensus!C31</f>
        <v>4270</v>
      </c>
      <c r="C13" s="87" t="n">
        <f aca="false">Consensus!D31</f>
        <v>-40902</v>
      </c>
      <c r="D13" s="87" t="n">
        <f aca="false">Consensus!E31</f>
        <v>-143648</v>
      </c>
      <c r="E13" s="87" t="n">
        <f aca="false">Consensus!F31</f>
        <v>-265525</v>
      </c>
      <c r="F13" s="41"/>
    </row>
    <row r="14" customFormat="false" ht="15" hidden="false" customHeight="true" outlineLevel="0" collapsed="false">
      <c r="A14" s="66" t="s">
        <v>529</v>
      </c>
      <c r="B14" s="46" t="n">
        <f aca="false">IFERROR($B$4/B10,"n/a")</f>
        <v>108.564535585042</v>
      </c>
      <c r="C14" s="46" t="n">
        <f aca="false">IFERROR($B$4/C10,"n/a")</f>
        <v>12.3068508136196</v>
      </c>
      <c r="D14" s="46" t="n">
        <f aca="false">IFERROR($B$4/D10,"n/a")</f>
        <v>5.81921634553214</v>
      </c>
      <c r="E14" s="80" t="n">
        <f aca="false">IFERROR($B$4/E10,"n/a")</f>
        <v>5.28231013029698</v>
      </c>
      <c r="F14" s="41" t="s">
        <v>530</v>
      </c>
    </row>
    <row r="15" customFormat="false" ht="15" hidden="false" customHeight="true" outlineLevel="0" collapsed="false">
      <c r="A15" s="66" t="s">
        <v>531</v>
      </c>
      <c r="B15" s="46" t="n">
        <f aca="false">IFERROR($B$4/B11,"n/a")</f>
        <v>18.5950413223141</v>
      </c>
      <c r="C15" s="46" t="n">
        <f aca="false">IFERROR($B$4/C11,"n/a")</f>
        <v>7.58086253369272</v>
      </c>
      <c r="D15" s="46" t="n">
        <f aca="false">IFERROR($B$4/D11,"n/a")</f>
        <v>3.47463516330785</v>
      </c>
      <c r="E15" s="80" t="n">
        <f aca="false">IFERROR($B$4/E11,"n/a")</f>
        <v>2.0550760378134</v>
      </c>
      <c r="F15" s="41" t="s">
        <v>532</v>
      </c>
    </row>
    <row r="16" customFormat="false" ht="15" hidden="false" customHeight="true" outlineLevel="0" collapsed="false">
      <c r="A16" s="66" t="s">
        <v>533</v>
      </c>
      <c r="B16" s="46" t="n">
        <f aca="false">IFERROR(($B$6+B13)/B12,"n/a")</f>
        <v>53.196687154912</v>
      </c>
      <c r="C16" s="46" t="n">
        <f aca="false">IFERROR(($B$6+C13)/C12,"n/a")</f>
        <v>9.04204685459144</v>
      </c>
      <c r="D16" s="46" t="n">
        <f aca="false">IFERROR(($B$6+D13)/D12,"n/a")</f>
        <v>3.93226444063233</v>
      </c>
      <c r="E16" s="80" t="n">
        <f aca="false">IFERROR(($B$6+E13)/E12,"n/a")</f>
        <v>3.05027540661544</v>
      </c>
      <c r="F16" s="44" t="s">
        <v>534</v>
      </c>
    </row>
    <row r="18" customFormat="false" ht="16.5" hidden="false" customHeight="true" outlineLevel="0" collapsed="false">
      <c r="A18" s="14" t="s">
        <v>535</v>
      </c>
      <c r="B18" s="14"/>
      <c r="C18" s="14"/>
      <c r="D18" s="14"/>
      <c r="E18" s="14"/>
      <c r="F18" s="14"/>
      <c r="G18" s="14"/>
      <c r="H18" s="14"/>
    </row>
    <row r="20" customFormat="false" ht="16.5" hidden="false" customHeight="true" outlineLevel="0" collapsed="false">
      <c r="A20" s="8" t="s">
        <v>536</v>
      </c>
      <c r="B20" s="8"/>
      <c r="C20" s="8"/>
      <c r="D20" s="8"/>
      <c r="E20" s="8"/>
      <c r="F20" s="8"/>
      <c r="G20" s="8"/>
    </row>
    <row r="21" customFormat="false" ht="15" hidden="false" customHeight="true" outlineLevel="0" collapsed="false">
      <c r="A21" s="13" t="s">
        <v>537</v>
      </c>
      <c r="B21" s="13"/>
      <c r="C21" s="13"/>
      <c r="D21" s="13"/>
      <c r="E21" s="13"/>
      <c r="F21" s="13"/>
      <c r="G21" s="13"/>
      <c r="H21" s="13"/>
    </row>
    <row r="22" customFormat="false" ht="15" hidden="false" customHeight="true" outlineLevel="0" collapsed="false">
      <c r="A22" s="13" t="s">
        <v>538</v>
      </c>
      <c r="B22" s="13"/>
      <c r="C22" s="13"/>
      <c r="D22" s="13"/>
      <c r="E22" s="13"/>
      <c r="F22" s="13"/>
      <c r="G22" s="13"/>
      <c r="H22" s="13"/>
    </row>
    <row r="23" customFormat="false" ht="15.75" hidden="false" customHeight="true" outlineLevel="0" collapsed="false"/>
    <row r="24" customFormat="false" ht="15" hidden="false" customHeight="true" outlineLevel="0" collapsed="false">
      <c r="A24" s="63" t="s">
        <v>539</v>
      </c>
      <c r="B24" s="121" t="n">
        <f aca="false">AVERAGE(SegmentMargin!B21:D21)</f>
        <v>0.877163137384674</v>
      </c>
      <c r="C24" s="122" t="s">
        <v>540</v>
      </c>
      <c r="D24" s="122"/>
      <c r="E24" s="122"/>
      <c r="F24" s="122"/>
      <c r="G24" s="122"/>
    </row>
    <row r="25" customFormat="false" ht="15" hidden="false" customHeight="true" outlineLevel="0" collapsed="false">
      <c r="A25" s="50" t="s">
        <v>541</v>
      </c>
      <c r="B25" s="53" t="n">
        <f aca="false">Consensus!C24</f>
        <v>48.4</v>
      </c>
      <c r="C25" s="41" t="s">
        <v>542</v>
      </c>
      <c r="D25" s="41"/>
      <c r="E25" s="41"/>
      <c r="F25" s="41"/>
      <c r="G25" s="41"/>
    </row>
    <row r="26" customFormat="false" ht="15" hidden="false" customHeight="true" outlineLevel="0" collapsed="false">
      <c r="A26" s="50" t="s">
        <v>543</v>
      </c>
      <c r="B26" s="52" t="n">
        <f aca="false">Consensus!D18+Consensus!E18+Consensus!F18</f>
        <v>398.17</v>
      </c>
      <c r="C26" s="44" t="s">
        <v>544</v>
      </c>
      <c r="D26" s="44"/>
      <c r="E26" s="44"/>
      <c r="F26" s="44"/>
      <c r="G26" s="44"/>
    </row>
    <row r="27" customFormat="false" ht="15" hidden="false" customHeight="true" outlineLevel="0" collapsed="false">
      <c r="A27" s="63" t="s">
        <v>545</v>
      </c>
      <c r="B27" s="81" t="n">
        <f aca="false">Consensus!F18*B24</f>
        <v>149.451055347601</v>
      </c>
      <c r="C27" s="41" t="s">
        <v>546</v>
      </c>
      <c r="D27" s="41"/>
      <c r="E27" s="41"/>
      <c r="F27" s="41"/>
      <c r="G27" s="41"/>
    </row>
    <row r="28" customFormat="false" ht="15" hidden="false" customHeight="true" outlineLevel="0" collapsed="false">
      <c r="A28" s="63" t="s">
        <v>547</v>
      </c>
      <c r="B28" s="81" t="n">
        <f aca="false">B25+B26*B24</f>
        <v>397.660046412456</v>
      </c>
      <c r="C28" s="44" t="s">
        <v>548</v>
      </c>
      <c r="D28" s="44"/>
      <c r="E28" s="44"/>
      <c r="F28" s="44"/>
      <c r="G28" s="44"/>
    </row>
    <row r="29" customFormat="false" ht="15" hidden="false" customHeight="true" outlineLevel="0" collapsed="false">
      <c r="A29" s="63" t="s">
        <v>549</v>
      </c>
      <c r="B29" s="80" t="n">
        <f aca="false">IFERROR($B$4/B27,"n/a")</f>
        <v>6.0220384386496</v>
      </c>
      <c r="C29" s="41"/>
      <c r="D29" s="41"/>
      <c r="E29" s="41"/>
      <c r="F29" s="41"/>
      <c r="G29" s="41"/>
    </row>
    <row r="30" customFormat="false" ht="15" hidden="false" customHeight="true" outlineLevel="0" collapsed="false">
      <c r="A30" s="63" t="s">
        <v>550</v>
      </c>
      <c r="B30" s="80" t="n">
        <f aca="false">IFERROR($B$4/B28,"n/a")</f>
        <v>2.26323968957775</v>
      </c>
      <c r="C30" s="41"/>
      <c r="D30" s="41"/>
      <c r="E30" s="41"/>
      <c r="F30" s="41"/>
      <c r="G30" s="41"/>
    </row>
    <row r="31" customFormat="false" ht="15.75" hidden="false" customHeight="true" outlineLevel="0" collapsed="false">
      <c r="A31" s="20" t="s">
        <v>551</v>
      </c>
    </row>
    <row r="32" customFormat="false" ht="15" hidden="false" customHeight="true" outlineLevel="0" collapsed="false">
      <c r="A32" s="8" t="s">
        <v>552</v>
      </c>
      <c r="B32" s="8"/>
      <c r="C32" s="8"/>
      <c r="D32" s="8"/>
      <c r="E32" s="8"/>
      <c r="F32" s="8"/>
      <c r="G32" s="8"/>
    </row>
    <row r="33" customFormat="false" ht="15" hidden="false" customHeight="true" outlineLevel="0" collapsed="false">
      <c r="A33" s="10" t="s">
        <v>395</v>
      </c>
      <c r="B33" s="55" t="n">
        <v>10</v>
      </c>
      <c r="C33" s="41" t="s">
        <v>553</v>
      </c>
      <c r="D33" s="41"/>
      <c r="E33" s="41"/>
      <c r="F33" s="41"/>
      <c r="G33" s="41"/>
    </row>
    <row r="34" customFormat="false" ht="15" hidden="false" customHeight="true" outlineLevel="0" collapsed="false">
      <c r="A34" s="66" t="s">
        <v>554</v>
      </c>
      <c r="B34" s="96" t="n">
        <f aca="false">B27*B33</f>
        <v>1494.51055347601</v>
      </c>
      <c r="C34" s="41" t="s">
        <v>555</v>
      </c>
      <c r="D34" s="41"/>
      <c r="E34" s="41"/>
      <c r="F34" s="41"/>
      <c r="G34" s="41"/>
    </row>
    <row r="35" customFormat="false" ht="15" hidden="false" customHeight="true" outlineLevel="0" collapsed="false">
      <c r="A35" s="10" t="s">
        <v>556</v>
      </c>
      <c r="B35" s="55" t="n">
        <v>2</v>
      </c>
      <c r="C35" s="41" t="s">
        <v>557</v>
      </c>
      <c r="D35" s="41"/>
      <c r="E35" s="41"/>
      <c r="F35" s="41"/>
      <c r="G35" s="41"/>
    </row>
    <row r="36" customFormat="false" ht="15" hidden="false" customHeight="true" outlineLevel="0" collapsed="false">
      <c r="A36" s="66" t="s">
        <v>558</v>
      </c>
      <c r="B36" s="96" t="n">
        <f aca="false">B28*B35</f>
        <v>795.320092824911</v>
      </c>
      <c r="C36" s="41" t="s">
        <v>559</v>
      </c>
      <c r="D36" s="41"/>
      <c r="E36" s="41"/>
      <c r="F36" s="41"/>
      <c r="G36" s="41"/>
    </row>
    <row r="37" customFormat="false" ht="15" hidden="false" customHeight="true" outlineLevel="0" collapsed="false">
      <c r="A37" s="63" t="s">
        <v>560</v>
      </c>
      <c r="B37" s="96" t="n">
        <f aca="false">AVERAGE(B34,B36)</f>
        <v>1144.91532315046</v>
      </c>
      <c r="C37" s="41"/>
      <c r="D37" s="41"/>
      <c r="E37" s="41"/>
      <c r="F37" s="41"/>
      <c r="G37" s="41"/>
    </row>
    <row r="38" customFormat="false" ht="15" hidden="false" customHeight="true" outlineLevel="0" collapsed="false">
      <c r="A38" s="10" t="s">
        <v>187</v>
      </c>
      <c r="B38" s="53" t="n">
        <f aca="false">B4</f>
        <v>900</v>
      </c>
      <c r="C38" s="41"/>
      <c r="D38" s="41"/>
      <c r="E38" s="41"/>
      <c r="F38" s="41"/>
      <c r="G38" s="41"/>
    </row>
    <row r="39" customFormat="false" ht="15" hidden="false" customHeight="true" outlineLevel="0" collapsed="false">
      <c r="A39" s="63" t="s">
        <v>342</v>
      </c>
      <c r="B39" s="82" t="n">
        <f aca="false">B37/B38-1</f>
        <v>0.272128136833844</v>
      </c>
      <c r="C39" s="41"/>
      <c r="D39" s="41"/>
      <c r="E39" s="41"/>
      <c r="F39" s="41"/>
      <c r="G39" s="41"/>
    </row>
    <row r="40" customFormat="false" ht="15.75" hidden="false" customHeight="true" outlineLevel="0" collapsed="false"/>
    <row r="41" customFormat="false" ht="16.5" hidden="false" customHeight="true" outlineLevel="0" collapsed="false">
      <c r="A41" s="8" t="s">
        <v>561</v>
      </c>
      <c r="B41" s="8"/>
      <c r="C41" s="8"/>
      <c r="D41" s="8"/>
      <c r="E41" s="8"/>
      <c r="F41" s="8"/>
      <c r="G41" s="8"/>
      <c r="H41" s="8"/>
    </row>
    <row r="42" customFormat="false" ht="15" hidden="false" customHeight="true" outlineLevel="0" collapsed="false">
      <c r="A42" s="38" t="s">
        <v>562</v>
      </c>
      <c r="B42" s="90" t="n">
        <v>1</v>
      </c>
      <c r="C42" s="90" t="n">
        <v>1.5</v>
      </c>
      <c r="D42" s="90" t="n">
        <v>2</v>
      </c>
      <c r="E42" s="90" t="n">
        <v>2.5</v>
      </c>
      <c r="F42" s="90" t="n">
        <v>3</v>
      </c>
      <c r="G42" s="90" t="n">
        <v>3.5</v>
      </c>
      <c r="H42" s="90" t="n">
        <v>4</v>
      </c>
    </row>
    <row r="43" customFormat="false" ht="15" hidden="false" customHeight="true" outlineLevel="0" collapsed="false">
      <c r="A43" s="84" t="n">
        <v>0.3</v>
      </c>
      <c r="B43" s="85" t="n">
        <f aca="false">($B$25+$B$26*$A43)*B$42</f>
        <v>167.851</v>
      </c>
      <c r="C43" s="85" t="n">
        <f aca="false">($B$25+$B$26*$A43)*C$42</f>
        <v>251.7765</v>
      </c>
      <c r="D43" s="85" t="n">
        <f aca="false">($B$25+$B$26*$A43)*D$42</f>
        <v>335.702</v>
      </c>
      <c r="E43" s="85" t="n">
        <f aca="false">($B$25+$B$26*$A43)*E$42</f>
        <v>419.6275</v>
      </c>
      <c r="F43" s="85" t="n">
        <f aca="false">($B$25+$B$26*$A43)*F$42</f>
        <v>503.553</v>
      </c>
      <c r="G43" s="85" t="n">
        <f aca="false">($B$25+$B$26*$A43)*G$42</f>
        <v>587.4785</v>
      </c>
      <c r="H43" s="85" t="n">
        <f aca="false">($B$25+$B$26*$A43)*H$42</f>
        <v>671.404</v>
      </c>
    </row>
    <row r="44" customFormat="false" ht="15" hidden="false" customHeight="true" outlineLevel="0" collapsed="false">
      <c r="A44" s="84" t="n">
        <v>0.4</v>
      </c>
      <c r="B44" s="85" t="n">
        <f aca="false">($B$25+$B$26*$A44)*B$42</f>
        <v>207.668</v>
      </c>
      <c r="C44" s="85" t="n">
        <f aca="false">($B$25+$B$26*$A44)*C$42</f>
        <v>311.502</v>
      </c>
      <c r="D44" s="85" t="n">
        <f aca="false">($B$25+$B$26*$A44)*D$42</f>
        <v>415.336</v>
      </c>
      <c r="E44" s="85" t="n">
        <f aca="false">($B$25+$B$26*$A44)*E$42</f>
        <v>519.17</v>
      </c>
      <c r="F44" s="85" t="n">
        <f aca="false">($B$25+$B$26*$A44)*F$42</f>
        <v>623.004</v>
      </c>
      <c r="G44" s="85" t="n">
        <f aca="false">($B$25+$B$26*$A44)*G$42</f>
        <v>726.838</v>
      </c>
      <c r="H44" s="85" t="n">
        <f aca="false">($B$25+$B$26*$A44)*H$42</f>
        <v>830.672</v>
      </c>
    </row>
    <row r="45" customFormat="false" ht="15" hidden="false" customHeight="true" outlineLevel="0" collapsed="false">
      <c r="A45" s="84" t="n">
        <v>0.5</v>
      </c>
      <c r="B45" s="85" t="n">
        <f aca="false">($B$25+$B$26*$A45)*B$42</f>
        <v>247.485</v>
      </c>
      <c r="C45" s="85" t="n">
        <f aca="false">($B$25+$B$26*$A45)*C$42</f>
        <v>371.2275</v>
      </c>
      <c r="D45" s="85" t="n">
        <f aca="false">($B$25+$B$26*$A45)*D$42</f>
        <v>494.97</v>
      </c>
      <c r="E45" s="85" t="n">
        <f aca="false">($B$25+$B$26*$A45)*E$42</f>
        <v>618.7125</v>
      </c>
      <c r="F45" s="85" t="n">
        <f aca="false">($B$25+$B$26*$A45)*F$42</f>
        <v>742.455</v>
      </c>
      <c r="G45" s="85" t="n">
        <f aca="false">($B$25+$B$26*$A45)*G$42</f>
        <v>866.1975</v>
      </c>
      <c r="H45" s="85" t="n">
        <f aca="false">($B$25+$B$26*$A45)*H$42</f>
        <v>989.94</v>
      </c>
    </row>
    <row r="46" customFormat="false" ht="15" hidden="false" customHeight="true" outlineLevel="0" collapsed="false">
      <c r="A46" s="84" t="n">
        <v>0.6</v>
      </c>
      <c r="B46" s="85" t="n">
        <f aca="false">($B$25+$B$26*$A46)*B$42</f>
        <v>287.302</v>
      </c>
      <c r="C46" s="85" t="n">
        <f aca="false">($B$25+$B$26*$A46)*C$42</f>
        <v>430.953</v>
      </c>
      <c r="D46" s="85" t="n">
        <f aca="false">($B$25+$B$26*$A46)*D$42</f>
        <v>574.604</v>
      </c>
      <c r="E46" s="85" t="n">
        <f aca="false">($B$25+$B$26*$A46)*E$42</f>
        <v>718.255</v>
      </c>
      <c r="F46" s="85" t="n">
        <f aca="false">($B$25+$B$26*$A46)*F$42</f>
        <v>861.906</v>
      </c>
      <c r="G46" s="85" t="n">
        <f aca="false">($B$25+$B$26*$A46)*G$42</f>
        <v>1005.557</v>
      </c>
      <c r="H46" s="85" t="n">
        <f aca="false">($B$25+$B$26*$A46)*H$42</f>
        <v>1149.208</v>
      </c>
    </row>
    <row r="47" customFormat="false" ht="15" hidden="false" customHeight="true" outlineLevel="0" collapsed="false">
      <c r="A47" s="84" t="n">
        <v>0.7</v>
      </c>
      <c r="B47" s="85" t="n">
        <f aca="false">($B$25+$B$26*$A47)*B$42</f>
        <v>327.119</v>
      </c>
      <c r="C47" s="85" t="n">
        <f aca="false">($B$25+$B$26*$A47)*C$42</f>
        <v>490.6785</v>
      </c>
      <c r="D47" s="85" t="n">
        <f aca="false">($B$25+$B$26*$A47)*D$42</f>
        <v>654.238</v>
      </c>
      <c r="E47" s="85" t="n">
        <f aca="false">($B$25+$B$26*$A47)*E$42</f>
        <v>817.7975</v>
      </c>
      <c r="F47" s="85" t="n">
        <f aca="false">($B$25+$B$26*$A47)*F$42</f>
        <v>981.357</v>
      </c>
      <c r="G47" s="85" t="n">
        <f aca="false">($B$25+$B$26*$A47)*G$42</f>
        <v>1144.9165</v>
      </c>
      <c r="H47" s="85" t="n">
        <f aca="false">($B$25+$B$26*$A47)*H$42</f>
        <v>1308.476</v>
      </c>
    </row>
    <row r="48" customFormat="false" ht="15" hidden="false" customHeight="true" outlineLevel="0" collapsed="false">
      <c r="A48" s="84" t="n">
        <v>0.85</v>
      </c>
      <c r="B48" s="85" t="n">
        <f aca="false">($B$25+$B$26*$A48)*B$42</f>
        <v>386.8445</v>
      </c>
      <c r="C48" s="85" t="n">
        <f aca="false">($B$25+$B$26*$A48)*C$42</f>
        <v>580.26675</v>
      </c>
      <c r="D48" s="85" t="n">
        <f aca="false">($B$25+$B$26*$A48)*D$42</f>
        <v>773.689</v>
      </c>
      <c r="E48" s="85" t="n">
        <f aca="false">($B$25+$B$26*$A48)*E$42</f>
        <v>967.11125</v>
      </c>
      <c r="F48" s="85" t="n">
        <f aca="false">($B$25+$B$26*$A48)*F$42</f>
        <v>1160.5335</v>
      </c>
      <c r="G48" s="85" t="n">
        <f aca="false">($B$25+$B$26*$A48)*G$42</f>
        <v>1353.95575</v>
      </c>
      <c r="H48" s="85" t="n">
        <f aca="false">($B$25+$B$26*$A48)*H$42</f>
        <v>1547.378</v>
      </c>
    </row>
    <row r="49" customFormat="false" ht="15" hidden="false" customHeight="true" outlineLevel="0" collapsed="false">
      <c r="A49" s="84" t="n">
        <v>1</v>
      </c>
      <c r="B49" s="85" t="n">
        <f aca="false">($B$25+$B$26*$A49)*B$42</f>
        <v>446.57</v>
      </c>
      <c r="C49" s="85" t="n">
        <f aca="false">($B$25+$B$26*$A49)*C$42</f>
        <v>669.855</v>
      </c>
      <c r="D49" s="85" t="n">
        <f aca="false">($B$25+$B$26*$A49)*D$42</f>
        <v>893.14</v>
      </c>
      <c r="E49" s="85" t="n">
        <f aca="false">($B$25+$B$26*$A49)*E$42</f>
        <v>1116.425</v>
      </c>
      <c r="F49" s="85" t="n">
        <f aca="false">($B$25+$B$26*$A49)*F$42</f>
        <v>1339.71</v>
      </c>
      <c r="G49" s="85" t="n">
        <f aca="false">($B$25+$B$26*$A49)*G$42</f>
        <v>1562.995</v>
      </c>
      <c r="H49" s="85" t="n">
        <f aca="false">($B$25+$B$26*$A49)*H$42</f>
        <v>1786.28</v>
      </c>
    </row>
    <row r="50" customFormat="false" ht="15.75" hidden="false" customHeight="true" outlineLevel="0" collapsed="false"/>
    <row r="51" customFormat="false" ht="16.5" hidden="false" customHeight="true" outlineLevel="0" collapsed="false">
      <c r="A51" s="14" t="str">
        <f aca="false">"Current price of "&amp;TEXT($B$4,"$#,##0")&amp;" - find the closest cell; that combination is the achievement rate and target multiple the market assumes."</f>
        <v>Current price of $900 - find the closest cell; that combination is the achievement rate and target multiple the market assumes.</v>
      </c>
      <c r="B51" s="14"/>
      <c r="C51" s="14"/>
      <c r="D51" s="14"/>
      <c r="E51" s="14"/>
      <c r="F51" s="14"/>
      <c r="G51" s="14"/>
      <c r="H51" s="14"/>
    </row>
    <row r="52" customFormat="false" ht="15.75" hidden="false" customHeight="true" outlineLevel="0" collapsed="false"/>
    <row r="53" customFormat="false" ht="15" hidden="false" customHeight="true" outlineLevel="0" collapsed="false">
      <c r="A53" s="8" t="s">
        <v>563</v>
      </c>
      <c r="B53" s="8"/>
      <c r="C53" s="8"/>
      <c r="D53" s="8"/>
      <c r="E53" s="8"/>
      <c r="F53" s="8"/>
      <c r="G53" s="8"/>
    </row>
    <row r="54" customFormat="false" ht="15" hidden="false" customHeight="true" outlineLevel="0" collapsed="false">
      <c r="A54" s="10" t="s">
        <v>564</v>
      </c>
      <c r="B54" s="82" t="n">
        <f aca="false">IFERROR(($B$4/2-$B$25)/$B$26,"n/a")</f>
        <v>1.00861441093001</v>
      </c>
      <c r="C54" s="41" t="s">
        <v>565</v>
      </c>
      <c r="D54" s="41"/>
      <c r="E54" s="41"/>
      <c r="F54" s="41"/>
      <c r="G54" s="41"/>
    </row>
    <row r="55" customFormat="false" ht="15" hidden="false" customHeight="true" outlineLevel="0" collapsed="false">
      <c r="A55" s="10" t="s">
        <v>566</v>
      </c>
      <c r="B55" s="82" t="n">
        <f aca="false">IFERROR(($B$4/2.5-$B$25)/$B$26,"n/a")</f>
        <v>0.782580304894894</v>
      </c>
      <c r="C55" s="41"/>
      <c r="D55" s="41"/>
      <c r="E55" s="41"/>
      <c r="F55" s="41"/>
      <c r="G55" s="41"/>
    </row>
    <row r="56" customFormat="false" ht="15" hidden="false" customHeight="true" outlineLevel="0" collapsed="false">
      <c r="A56" s="10" t="s">
        <v>567</v>
      </c>
      <c r="B56" s="80" t="n">
        <f aca="false">IFERROR($B$4/($B$25+$B$26),"n/a")</f>
        <v>2.0153615334662</v>
      </c>
      <c r="C56" s="41" t="s">
        <v>568</v>
      </c>
      <c r="D56" s="41"/>
      <c r="E56" s="41"/>
      <c r="F56" s="41"/>
      <c r="G56" s="41"/>
    </row>
    <row r="57" customFormat="false" ht="15" hidden="false" customHeight="true" outlineLevel="0" collapsed="false">
      <c r="A57" s="10" t="s">
        <v>569</v>
      </c>
      <c r="B57" s="80" t="n">
        <f aca="false">IFERROR($B$4/($B$25+$B$26*0.6),"n/a")</f>
        <v>3.1325921852267</v>
      </c>
      <c r="C57" s="41"/>
      <c r="D57" s="41"/>
      <c r="E57" s="41"/>
      <c r="F57" s="41"/>
      <c r="G57" s="41"/>
    </row>
    <row r="58" customFormat="false" ht="15.75" hidden="false" customHeight="true" outlineLevel="0" collapsed="false"/>
    <row r="59" customFormat="false" ht="15" hidden="false" customHeight="true" outlineLevel="0" collapsed="false">
      <c r="A59" s="13" t="s">
        <v>570</v>
      </c>
      <c r="B59" s="13"/>
      <c r="C59" s="13"/>
      <c r="D59" s="13"/>
      <c r="E59" s="13"/>
      <c r="F59" s="13"/>
      <c r="G59" s="13"/>
      <c r="H59" s="13"/>
    </row>
    <row r="60" customFormat="false" ht="15" hidden="false" customHeight="true" outlineLevel="0" collapsed="false">
      <c r="A60" s="13" t="s">
        <v>571</v>
      </c>
      <c r="B60" s="13"/>
      <c r="C60" s="13"/>
      <c r="D60" s="13"/>
      <c r="E60" s="13"/>
      <c r="F60" s="13"/>
      <c r="G60" s="13"/>
      <c r="H60" s="13"/>
    </row>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mergeCells count="34">
    <mergeCell ref="A1:H1"/>
    <mergeCell ref="A3:F3"/>
    <mergeCell ref="C4:F4"/>
    <mergeCell ref="C5:F5"/>
    <mergeCell ref="C6:F6"/>
    <mergeCell ref="A8:G8"/>
    <mergeCell ref="A18:H18"/>
    <mergeCell ref="A20:G20"/>
    <mergeCell ref="A21:H21"/>
    <mergeCell ref="A22:H22"/>
    <mergeCell ref="C24:G24"/>
    <mergeCell ref="C25:G25"/>
    <mergeCell ref="C26:G26"/>
    <mergeCell ref="C27:G27"/>
    <mergeCell ref="C28:G28"/>
    <mergeCell ref="C29:G29"/>
    <mergeCell ref="C30:G30"/>
    <mergeCell ref="A32:G32"/>
    <mergeCell ref="C33:G33"/>
    <mergeCell ref="C34:G34"/>
    <mergeCell ref="C35:G35"/>
    <mergeCell ref="C36:G36"/>
    <mergeCell ref="C37:G37"/>
    <mergeCell ref="C38:G38"/>
    <mergeCell ref="C39:G39"/>
    <mergeCell ref="A41:H41"/>
    <mergeCell ref="A51:H51"/>
    <mergeCell ref="A53:G53"/>
    <mergeCell ref="C54:G54"/>
    <mergeCell ref="C55:G55"/>
    <mergeCell ref="C56:G56"/>
    <mergeCell ref="C57:G57"/>
    <mergeCell ref="A59:H59"/>
    <mergeCell ref="A60:H6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B3" activeCellId="0" sqref="B3"/>
    </sheetView>
  </sheetViews>
  <sheetFormatPr defaultColWidth="12.62890625" defaultRowHeight="15" customHeight="true" zeroHeight="false" outlineLevelRow="0" outlineLevelCol="0"/>
  <cols>
    <col collapsed="false" customWidth="true" hidden="false" outlineLevel="0" max="1" min="1" style="1" width="18"/>
    <col collapsed="false" customWidth="true" hidden="false" outlineLevel="0" max="2" min="2" style="1" width="13"/>
    <col collapsed="false" customWidth="true" hidden="false" outlineLevel="0" max="8" min="3" style="1" width="17"/>
    <col collapsed="false" customWidth="true" hidden="false" outlineLevel="0" max="26" min="9" style="1" width="8.5"/>
  </cols>
  <sheetData>
    <row r="1" customFormat="false" ht="24" hidden="false" customHeight="true" outlineLevel="0" collapsed="false">
      <c r="A1" s="23" t="s">
        <v>572</v>
      </c>
      <c r="B1" s="23"/>
      <c r="C1" s="23"/>
      <c r="D1" s="23"/>
      <c r="E1" s="23"/>
      <c r="F1" s="23"/>
      <c r="G1" s="23"/>
      <c r="H1" s="23"/>
    </row>
    <row r="2" customFormat="false" ht="13.5" hidden="false" customHeight="true" outlineLevel="0" collapsed="false">
      <c r="A2" s="13" t="s">
        <v>573</v>
      </c>
      <c r="B2" s="13"/>
      <c r="C2" s="13"/>
      <c r="D2" s="13"/>
      <c r="E2" s="13"/>
      <c r="F2" s="13"/>
      <c r="G2" s="13"/>
      <c r="H2" s="13"/>
    </row>
    <row r="4" customFormat="false" ht="16.5" hidden="false" customHeight="true" outlineLevel="0" collapsed="false">
      <c r="A4" s="24" t="s">
        <v>574</v>
      </c>
      <c r="B4" s="24"/>
      <c r="C4" s="24"/>
      <c r="D4" s="24"/>
      <c r="E4" s="24"/>
      <c r="F4" s="24"/>
      <c r="G4" s="24"/>
      <c r="H4" s="24"/>
    </row>
    <row r="5" customFormat="false" ht="15" hidden="false" customHeight="true" outlineLevel="0" collapsed="false">
      <c r="A5" s="25" t="s">
        <v>575</v>
      </c>
      <c r="B5" s="25" t="s">
        <v>96</v>
      </c>
      <c r="C5" s="25" t="s">
        <v>576</v>
      </c>
      <c r="D5" s="25"/>
      <c r="E5" s="25"/>
      <c r="F5" s="25" t="s">
        <v>577</v>
      </c>
      <c r="G5" s="25" t="s">
        <v>578</v>
      </c>
      <c r="H5" s="25"/>
    </row>
    <row r="6" customFormat="false" ht="45.75" hidden="false" customHeight="true" outlineLevel="0" collapsed="false">
      <c r="A6" s="66" t="s">
        <v>579</v>
      </c>
      <c r="B6" s="40" t="s">
        <v>580</v>
      </c>
      <c r="C6" s="33" t="s">
        <v>581</v>
      </c>
      <c r="D6" s="33"/>
      <c r="E6" s="33"/>
      <c r="F6" s="33" t="s">
        <v>582</v>
      </c>
      <c r="G6" s="27" t="s">
        <v>583</v>
      </c>
      <c r="H6" s="27"/>
    </row>
    <row r="7" customFormat="false" ht="45.75" hidden="false" customHeight="true" outlineLevel="0" collapsed="false">
      <c r="A7" s="66" t="s">
        <v>584</v>
      </c>
      <c r="B7" s="40" t="s">
        <v>585</v>
      </c>
      <c r="C7" s="27" t="s">
        <v>586</v>
      </c>
      <c r="D7" s="27"/>
      <c r="E7" s="27"/>
      <c r="F7" s="33" t="s">
        <v>587</v>
      </c>
      <c r="G7" s="33" t="s">
        <v>588</v>
      </c>
      <c r="H7" s="33"/>
    </row>
    <row r="8" customFormat="false" ht="45.75" hidden="false" customHeight="true" outlineLevel="0" collapsed="false">
      <c r="A8" s="66" t="s">
        <v>584</v>
      </c>
      <c r="B8" s="40" t="s">
        <v>589</v>
      </c>
      <c r="C8" s="27" t="s">
        <v>590</v>
      </c>
      <c r="D8" s="27"/>
      <c r="E8" s="27"/>
      <c r="F8" s="33" t="s">
        <v>591</v>
      </c>
      <c r="G8" s="27" t="s">
        <v>208</v>
      </c>
      <c r="H8" s="27"/>
    </row>
    <row r="9" customFormat="false" ht="45.75" hidden="false" customHeight="true" outlineLevel="0" collapsed="false">
      <c r="A9" s="66" t="s">
        <v>592</v>
      </c>
      <c r="B9" s="40" t="s">
        <v>593</v>
      </c>
      <c r="C9" s="27" t="s">
        <v>594</v>
      </c>
      <c r="D9" s="27"/>
      <c r="E9" s="27"/>
      <c r="F9" s="27" t="s">
        <v>208</v>
      </c>
      <c r="G9" s="27" t="s">
        <v>595</v>
      </c>
      <c r="H9" s="27"/>
    </row>
    <row r="10" customFormat="false" ht="45.75" hidden="false" customHeight="true" outlineLevel="0" collapsed="false">
      <c r="A10" s="66" t="s">
        <v>596</v>
      </c>
      <c r="B10" s="40" t="s">
        <v>597</v>
      </c>
      <c r="C10" s="27" t="s">
        <v>598</v>
      </c>
      <c r="D10" s="27"/>
      <c r="E10" s="27"/>
      <c r="F10" s="27" t="s">
        <v>208</v>
      </c>
      <c r="G10" s="33" t="s">
        <v>599</v>
      </c>
      <c r="H10" s="33"/>
    </row>
    <row r="11" customFormat="false" ht="45.75" hidden="false" customHeight="true" outlineLevel="0" collapsed="false">
      <c r="A11" s="66" t="s">
        <v>600</v>
      </c>
      <c r="B11" s="40" t="s">
        <v>601</v>
      </c>
      <c r="C11" s="33" t="s">
        <v>602</v>
      </c>
      <c r="D11" s="33"/>
      <c r="E11" s="33"/>
      <c r="F11" s="27" t="s">
        <v>208</v>
      </c>
      <c r="G11" s="33" t="s">
        <v>603</v>
      </c>
      <c r="H11" s="33"/>
    </row>
    <row r="12" customFormat="false" ht="45.75" hidden="false" customHeight="true" outlineLevel="0" collapsed="false">
      <c r="A12" s="66" t="s">
        <v>604</v>
      </c>
      <c r="B12" s="40" t="s">
        <v>589</v>
      </c>
      <c r="C12" s="33" t="s">
        <v>605</v>
      </c>
      <c r="D12" s="33"/>
      <c r="E12" s="33"/>
      <c r="F12" s="27" t="s">
        <v>208</v>
      </c>
      <c r="G12" s="33" t="s">
        <v>606</v>
      </c>
      <c r="H12" s="33"/>
    </row>
    <row r="14" customFormat="false" ht="16.5" hidden="false" customHeight="true" outlineLevel="0" collapsed="false">
      <c r="A14" s="24" t="s">
        <v>607</v>
      </c>
      <c r="B14" s="24"/>
      <c r="C14" s="24"/>
      <c r="D14" s="24"/>
      <c r="E14" s="24"/>
      <c r="F14" s="24"/>
      <c r="G14" s="24"/>
      <c r="H14" s="24"/>
    </row>
    <row r="15" customFormat="false" ht="13.5" hidden="false" customHeight="true" outlineLevel="0" collapsed="false">
      <c r="A15" s="13" t="s">
        <v>608</v>
      </c>
      <c r="B15" s="13"/>
      <c r="C15" s="13"/>
      <c r="D15" s="13"/>
      <c r="E15" s="13"/>
      <c r="F15" s="13"/>
      <c r="G15" s="13"/>
      <c r="H15" s="13"/>
    </row>
    <row r="16" customFormat="false" ht="15" hidden="false" customHeight="true" outlineLevel="0" collapsed="false">
      <c r="A16" s="25" t="s">
        <v>609</v>
      </c>
      <c r="B16" s="25" t="s">
        <v>610</v>
      </c>
      <c r="C16" s="25" t="s">
        <v>611</v>
      </c>
      <c r="D16" s="25" t="s">
        <v>402</v>
      </c>
      <c r="E16" s="25" t="s">
        <v>341</v>
      </c>
      <c r="F16" s="25" t="s">
        <v>342</v>
      </c>
      <c r="G16" s="25" t="s">
        <v>451</v>
      </c>
      <c r="H16" s="25"/>
    </row>
    <row r="17" customFormat="false" ht="15" hidden="false" customHeight="true" outlineLevel="0" collapsed="false">
      <c r="A17" s="66" t="s">
        <v>612</v>
      </c>
      <c r="B17" s="50" t="s">
        <v>613</v>
      </c>
      <c r="C17" s="50" t="s">
        <v>614</v>
      </c>
      <c r="D17" s="53" t="n">
        <f aca="false">Consensus!E24</f>
        <v>259.02</v>
      </c>
      <c r="E17" s="96" t="n">
        <f aca="false">D17*6</f>
        <v>1554.12</v>
      </c>
      <c r="F17" s="49" t="n">
        <f aca="false">E17/Assumptions!$B$5-1</f>
        <v>0.7268</v>
      </c>
      <c r="G17" s="123" t="s">
        <v>615</v>
      </c>
      <c r="H17" s="123"/>
    </row>
    <row r="18" customFormat="false" ht="15" hidden="false" customHeight="true" outlineLevel="0" collapsed="false">
      <c r="A18" s="66" t="s">
        <v>616</v>
      </c>
      <c r="B18" s="50" t="s">
        <v>617</v>
      </c>
      <c r="C18" s="50" t="s">
        <v>614</v>
      </c>
      <c r="D18" s="53" t="n">
        <f aca="false">Consensus!E24</f>
        <v>259.02</v>
      </c>
      <c r="E18" s="96" t="n">
        <f aca="false">D18*5</f>
        <v>1295.1</v>
      </c>
      <c r="F18" s="49" t="n">
        <f aca="false">E18/Assumptions!$B$5-1</f>
        <v>0.439</v>
      </c>
      <c r="G18" s="123" t="s">
        <v>400</v>
      </c>
      <c r="H18" s="123"/>
    </row>
    <row r="19" customFormat="false" ht="15" hidden="false" customHeight="true" outlineLevel="0" collapsed="false">
      <c r="A19" s="66" t="s">
        <v>618</v>
      </c>
      <c r="B19" s="50" t="s">
        <v>619</v>
      </c>
      <c r="C19" s="50" t="s">
        <v>620</v>
      </c>
      <c r="D19" s="53" t="n">
        <f aca="false">(Consensus!D18+Consensus!E18)/2</f>
        <v>113.895</v>
      </c>
      <c r="E19" s="96" t="n">
        <f aca="false">D19*9</f>
        <v>1025.055</v>
      </c>
      <c r="F19" s="49" t="n">
        <f aca="false">E19/Assumptions!$B$5-1</f>
        <v>0.13895</v>
      </c>
      <c r="G19" s="123" t="s">
        <v>400</v>
      </c>
      <c r="H19" s="123"/>
    </row>
    <row r="20" customFormat="false" ht="15" hidden="false" customHeight="true" outlineLevel="0" collapsed="false">
      <c r="A20" s="63" t="s">
        <v>621</v>
      </c>
      <c r="B20" s="50" t="s">
        <v>622</v>
      </c>
      <c r="C20" s="50" t="s">
        <v>228</v>
      </c>
      <c r="D20" s="53" t="n">
        <f aca="false">Consensus!F24</f>
        <v>437.94</v>
      </c>
      <c r="E20" s="96" t="n">
        <f aca="false">D20*1.95</f>
        <v>853.983</v>
      </c>
      <c r="F20" s="49" t="n">
        <f aca="false">E20/Assumptions!$B$5-1</f>
        <v>-0.05113</v>
      </c>
      <c r="G20" s="123" t="s">
        <v>623</v>
      </c>
      <c r="H20" s="123"/>
    </row>
    <row r="21" customFormat="false" ht="15" hidden="false" customHeight="true" outlineLevel="0" collapsed="false">
      <c r="A21" s="66" t="s">
        <v>624</v>
      </c>
      <c r="B21" s="50" t="s">
        <v>625</v>
      </c>
      <c r="C21" s="50" t="s">
        <v>228</v>
      </c>
      <c r="D21" s="53" t="n">
        <f aca="false">Consensus!F24</f>
        <v>437.94</v>
      </c>
      <c r="E21" s="96" t="n">
        <f aca="false">D21*1.54</f>
        <v>674.4276</v>
      </c>
      <c r="F21" s="49" t="n">
        <f aca="false">E21/Assumptions!$B$5-1</f>
        <v>-0.250636</v>
      </c>
      <c r="G21" s="123" t="s">
        <v>626</v>
      </c>
      <c r="H21" s="123"/>
    </row>
    <row r="22" customFormat="false" ht="15" hidden="false" customHeight="true" outlineLevel="0" collapsed="false">
      <c r="A22" s="66" t="s">
        <v>627</v>
      </c>
      <c r="B22" s="50" t="s">
        <v>628</v>
      </c>
      <c r="C22" s="50" t="s">
        <v>629</v>
      </c>
      <c r="D22" s="39" t="n">
        <f aca="false">22</f>
        <v>22</v>
      </c>
      <c r="E22" s="96" t="n">
        <f aca="false">D22*22</f>
        <v>484</v>
      </c>
      <c r="F22" s="49" t="n">
        <f aca="false">E22/Assumptions!$B$5-1</f>
        <v>-0.462222222222222</v>
      </c>
      <c r="G22" s="123" t="s">
        <v>630</v>
      </c>
      <c r="H22" s="123"/>
    </row>
    <row r="23" customFormat="false" ht="15" hidden="false" customHeight="true" outlineLevel="0" collapsed="false">
      <c r="A23" s="63" t="s">
        <v>187</v>
      </c>
      <c r="B23" s="63"/>
      <c r="C23" s="63"/>
      <c r="D23" s="63"/>
      <c r="E23" s="124" t="n">
        <f aca="false">Assumptions!B5</f>
        <v>900</v>
      </c>
    </row>
    <row r="24" customFormat="false" ht="16.5" hidden="false" customHeight="true" outlineLevel="0" collapsed="false">
      <c r="A24" s="14" t="str">
        <f aca="false">"Report methodologies span "&amp;TEXT(MIN(E17:E22),"$#,##0")&amp;" to "&amp;TEXT(MAX(E17:E22),"$#,##0")&amp;". The current price of "&amp;TEXT(E23,"$#,##0")&amp;" sits in the middle of that range."</f>
        <v>Report methodologies span $484 to $1,554. The current price of $900 sits in the middle of that range.</v>
      </c>
      <c r="B24" s="14"/>
      <c r="C24" s="14"/>
      <c r="D24" s="14"/>
      <c r="E24" s="14"/>
      <c r="F24" s="14"/>
      <c r="G24" s="14"/>
      <c r="H24" s="14"/>
    </row>
    <row r="25" customFormat="false" ht="15.75" hidden="false" customHeight="true" outlineLevel="0" collapsed="false"/>
    <row r="26" customFormat="false" ht="16.5" hidden="false" customHeight="true" outlineLevel="0" collapsed="false">
      <c r="A26" s="24" t="s">
        <v>631</v>
      </c>
      <c r="B26" s="24"/>
      <c r="C26" s="24"/>
      <c r="D26" s="24"/>
      <c r="E26" s="24"/>
      <c r="F26" s="24"/>
      <c r="G26" s="24"/>
      <c r="H26" s="24"/>
    </row>
    <row r="27" customFormat="false" ht="15" hidden="false" customHeight="true" outlineLevel="0" collapsed="false">
      <c r="A27" s="61" t="s">
        <v>447</v>
      </c>
      <c r="B27" s="61" t="s">
        <v>182</v>
      </c>
      <c r="C27" s="61" t="s">
        <v>632</v>
      </c>
      <c r="D27" s="61"/>
      <c r="E27" s="61"/>
      <c r="F27" s="61" t="s">
        <v>633</v>
      </c>
      <c r="G27" s="61"/>
      <c r="H27" s="61" t="s">
        <v>634</v>
      </c>
    </row>
    <row r="28" customFormat="false" ht="39.75" hidden="false" customHeight="true" outlineLevel="0" collapsed="false">
      <c r="A28" s="125" t="s">
        <v>635</v>
      </c>
      <c r="B28" s="26" t="s">
        <v>636</v>
      </c>
      <c r="C28" s="27" t="s">
        <v>637</v>
      </c>
      <c r="D28" s="27"/>
      <c r="E28" s="27"/>
      <c r="F28" s="33" t="s">
        <v>638</v>
      </c>
      <c r="G28" s="33"/>
      <c r="H28" s="125" t="s">
        <v>635</v>
      </c>
    </row>
    <row r="29" customFormat="false" ht="39.75" hidden="false" customHeight="true" outlineLevel="0" collapsed="false">
      <c r="A29" s="125" t="s">
        <v>635</v>
      </c>
      <c r="B29" s="26" t="s">
        <v>639</v>
      </c>
      <c r="C29" s="27" t="s">
        <v>640</v>
      </c>
      <c r="D29" s="27"/>
      <c r="E29" s="27"/>
      <c r="F29" s="27" t="s">
        <v>641</v>
      </c>
      <c r="G29" s="27"/>
      <c r="H29" s="125" t="s">
        <v>635</v>
      </c>
    </row>
    <row r="30" customFormat="false" ht="39.75" hidden="false" customHeight="true" outlineLevel="0" collapsed="false">
      <c r="A30" s="126" t="s">
        <v>642</v>
      </c>
      <c r="B30" s="26" t="s">
        <v>643</v>
      </c>
      <c r="C30" s="27" t="s">
        <v>644</v>
      </c>
      <c r="D30" s="27"/>
      <c r="E30" s="27"/>
      <c r="F30" s="27" t="s">
        <v>645</v>
      </c>
      <c r="G30" s="27"/>
      <c r="H30" s="126" t="s">
        <v>642</v>
      </c>
    </row>
    <row r="31" customFormat="false" ht="39.75" hidden="false" customHeight="true" outlineLevel="0" collapsed="false">
      <c r="A31" s="126" t="s">
        <v>642</v>
      </c>
      <c r="B31" s="34" t="s">
        <v>646</v>
      </c>
      <c r="C31" s="27" t="s">
        <v>647</v>
      </c>
      <c r="D31" s="27"/>
      <c r="E31" s="27"/>
      <c r="F31" s="33" t="s">
        <v>648</v>
      </c>
      <c r="G31" s="33"/>
      <c r="H31" s="126" t="s">
        <v>642</v>
      </c>
    </row>
    <row r="32" customFormat="false" ht="39.75" hidden="false" customHeight="true" outlineLevel="0" collapsed="false">
      <c r="A32" s="127" t="s">
        <v>642</v>
      </c>
      <c r="B32" s="34" t="s">
        <v>649</v>
      </c>
      <c r="C32" s="27" t="s">
        <v>650</v>
      </c>
      <c r="D32" s="27"/>
      <c r="E32" s="27"/>
      <c r="F32" s="33" t="s">
        <v>651</v>
      </c>
      <c r="G32" s="33"/>
      <c r="H32" s="127" t="s">
        <v>652</v>
      </c>
    </row>
    <row r="33" customFormat="false" ht="39.75" hidden="false" customHeight="true" outlineLevel="0" collapsed="false">
      <c r="A33" s="126" t="s">
        <v>642</v>
      </c>
      <c r="B33" s="26" t="s">
        <v>653</v>
      </c>
      <c r="C33" s="27" t="s">
        <v>654</v>
      </c>
      <c r="D33" s="27"/>
      <c r="E33" s="27"/>
      <c r="F33" s="33" t="s">
        <v>655</v>
      </c>
      <c r="G33" s="33"/>
      <c r="H33" s="126" t="s">
        <v>642</v>
      </c>
    </row>
    <row r="34" customFormat="false" ht="39.75" hidden="false" customHeight="true" outlineLevel="0" collapsed="false">
      <c r="A34" s="126" t="s">
        <v>642</v>
      </c>
      <c r="B34" s="26" t="s">
        <v>656</v>
      </c>
      <c r="C34" s="27" t="s">
        <v>657</v>
      </c>
      <c r="D34" s="27"/>
      <c r="E34" s="27"/>
      <c r="F34" s="33" t="s">
        <v>658</v>
      </c>
      <c r="G34" s="33"/>
      <c r="H34" s="126" t="s">
        <v>642</v>
      </c>
    </row>
    <row r="35" customFormat="false" ht="39.75" hidden="false" customHeight="true" outlineLevel="0" collapsed="false">
      <c r="A35" s="126" t="s">
        <v>659</v>
      </c>
      <c r="B35" s="34" t="s">
        <v>660</v>
      </c>
      <c r="C35" s="33" t="s">
        <v>661</v>
      </c>
      <c r="D35" s="33"/>
      <c r="E35" s="33"/>
      <c r="F35" s="33" t="s">
        <v>662</v>
      </c>
      <c r="G35" s="33"/>
      <c r="H35" s="126" t="s">
        <v>642</v>
      </c>
    </row>
    <row r="36" customFormat="false" ht="39.75" hidden="false" customHeight="true" outlineLevel="0" collapsed="false">
      <c r="A36" s="126" t="s">
        <v>659</v>
      </c>
      <c r="B36" s="26" t="s">
        <v>663</v>
      </c>
      <c r="C36" s="27" t="s">
        <v>664</v>
      </c>
      <c r="D36" s="27"/>
      <c r="E36" s="27"/>
      <c r="F36" s="33" t="s">
        <v>665</v>
      </c>
      <c r="G36" s="33"/>
      <c r="H36" s="126" t="s">
        <v>642</v>
      </c>
    </row>
    <row r="37" customFormat="false" ht="39.75" hidden="false" customHeight="true" outlineLevel="0" collapsed="false">
      <c r="A37" s="126" t="s">
        <v>659</v>
      </c>
      <c r="B37" s="26" t="s">
        <v>666</v>
      </c>
      <c r="C37" s="27" t="s">
        <v>667</v>
      </c>
      <c r="D37" s="27"/>
      <c r="E37" s="27"/>
      <c r="F37" s="33" t="s">
        <v>668</v>
      </c>
      <c r="G37" s="33"/>
      <c r="H37" s="126" t="s">
        <v>642</v>
      </c>
    </row>
    <row r="38" customFormat="false" ht="39.75" hidden="false" customHeight="true" outlineLevel="0" collapsed="false">
      <c r="A38" s="126" t="s">
        <v>659</v>
      </c>
      <c r="B38" s="26" t="s">
        <v>669</v>
      </c>
      <c r="C38" s="27" t="s">
        <v>670</v>
      </c>
      <c r="D38" s="27"/>
      <c r="E38" s="27"/>
      <c r="F38" s="33" t="s">
        <v>671</v>
      </c>
      <c r="G38" s="33"/>
      <c r="H38" s="126" t="s">
        <v>642</v>
      </c>
    </row>
    <row r="39" customFormat="false" ht="39.75" hidden="false" customHeight="true" outlineLevel="0" collapsed="false">
      <c r="A39" s="126" t="s">
        <v>659</v>
      </c>
      <c r="B39" s="34" t="s">
        <v>672</v>
      </c>
      <c r="C39" s="27" t="s">
        <v>673</v>
      </c>
      <c r="D39" s="27"/>
      <c r="E39" s="27"/>
      <c r="F39" s="33" t="s">
        <v>674</v>
      </c>
      <c r="G39" s="33"/>
      <c r="H39" s="126" t="s">
        <v>642</v>
      </c>
    </row>
    <row r="40" customFormat="false" ht="15.75" hidden="false" customHeight="true" outlineLevel="0" collapsed="false"/>
    <row r="41" customFormat="false" ht="16.5" hidden="false" customHeight="true" outlineLevel="0" collapsed="false">
      <c r="A41" s="24" t="s">
        <v>675</v>
      </c>
      <c r="B41" s="24"/>
      <c r="C41" s="24"/>
      <c r="D41" s="24"/>
      <c r="E41" s="24"/>
      <c r="F41" s="24"/>
      <c r="G41" s="24"/>
      <c r="H41" s="24"/>
    </row>
    <row r="42" customFormat="false" ht="13.5" hidden="false" customHeight="true" outlineLevel="0" collapsed="false">
      <c r="A42" s="57" t="s">
        <v>676</v>
      </c>
      <c r="B42" s="57"/>
      <c r="C42" s="57"/>
      <c r="D42" s="57"/>
      <c r="E42" s="57"/>
      <c r="F42" s="57"/>
      <c r="G42" s="57"/>
      <c r="H42" s="57"/>
    </row>
    <row r="43" customFormat="false" ht="15" hidden="false" customHeight="true" outlineLevel="0" collapsed="false">
      <c r="A43" s="25" t="s">
        <v>34</v>
      </c>
      <c r="B43" s="25" t="s">
        <v>677</v>
      </c>
      <c r="C43" s="91" t="s">
        <v>678</v>
      </c>
      <c r="D43" s="25" t="s">
        <v>679</v>
      </c>
      <c r="E43" s="91" t="s">
        <v>306</v>
      </c>
      <c r="F43" s="91" t="s">
        <v>680</v>
      </c>
      <c r="G43" s="91" t="s">
        <v>681</v>
      </c>
    </row>
    <row r="44" customFormat="false" ht="15" hidden="false" customHeight="true" outlineLevel="0" collapsed="false">
      <c r="A44" s="66" t="s">
        <v>682</v>
      </c>
      <c r="B44" s="60" t="n">
        <v>0.55</v>
      </c>
      <c r="C44" s="45" t="n">
        <f aca="false">Consensus!F6*0.64</f>
        <v>182474.88</v>
      </c>
      <c r="D44" s="45" t="n">
        <f aca="false">C44*B44*0.85</f>
        <v>85307.0064</v>
      </c>
      <c r="E44" s="52" t="n">
        <f aca="false">D44/Assumptions!$B$6</f>
        <v>75.4929260176991</v>
      </c>
      <c r="F44" s="96" t="n">
        <f aca="false">E44*9</f>
        <v>679.436334159292</v>
      </c>
      <c r="G44" s="96" t="n">
        <f aca="false">E44*12</f>
        <v>905.915112212389</v>
      </c>
    </row>
    <row r="45" customFormat="false" ht="15" hidden="false" customHeight="true" outlineLevel="0" collapsed="false">
      <c r="A45" s="66" t="s">
        <v>683</v>
      </c>
      <c r="B45" s="60" t="n">
        <v>0.45</v>
      </c>
      <c r="C45" s="45" t="n">
        <f aca="false">Consensus!F6*0.5</f>
        <v>142558.5</v>
      </c>
      <c r="D45" s="45" t="n">
        <f aca="false">C45*B45*0.85</f>
        <v>54528.62625</v>
      </c>
      <c r="E45" s="52" t="n">
        <f aca="false">D45/Assumptions!$B$6</f>
        <v>48.255421460177</v>
      </c>
      <c r="F45" s="96" t="n">
        <f aca="false">E45*9</f>
        <v>434.298793141593</v>
      </c>
      <c r="G45" s="96" t="n">
        <f aca="false">E45*12</f>
        <v>579.065057522124</v>
      </c>
    </row>
    <row r="46" customFormat="false" ht="13.5" hidden="false" customHeight="true" outlineLevel="0" collapsed="false">
      <c r="A46" s="13" t="s">
        <v>684</v>
      </c>
      <c r="B46" s="13"/>
      <c r="C46" s="13"/>
      <c r="D46" s="13"/>
      <c r="E46" s="13"/>
      <c r="F46" s="13"/>
      <c r="G46" s="13"/>
      <c r="H46" s="13"/>
    </row>
    <row r="47" customFormat="false" ht="16.5" hidden="false" customHeight="true" outlineLevel="0" collapsed="false">
      <c r="A47" s="14" t="str">
        <f aca="false">"Even in the harshest Goldman scenario, applying 9x P/E gives "&amp;TEXT(F45,"$#,##0")&amp;" and 12x gives "&amp;TEXT(G45,"$#,##0")&amp;"."</f>
        <v>Even in the harshest Goldman scenario, applying 9x P/E gives $434 and 12x gives $579.</v>
      </c>
      <c r="B47" s="14"/>
      <c r="C47" s="14"/>
      <c r="D47" s="14"/>
      <c r="E47" s="14"/>
      <c r="F47" s="14"/>
      <c r="G47" s="14"/>
      <c r="H47" s="14"/>
    </row>
    <row r="48" customFormat="false" ht="15.75" hidden="false" customHeight="true" outlineLevel="0" collapsed="false"/>
    <row r="49" customFormat="false" ht="16.5" hidden="false" customHeight="true" outlineLevel="0" collapsed="false">
      <c r="A49" s="24" t="s">
        <v>685</v>
      </c>
      <c r="B49" s="24"/>
      <c r="C49" s="24"/>
      <c r="D49" s="24"/>
      <c r="E49" s="24"/>
      <c r="F49" s="24"/>
      <c r="G49" s="24"/>
      <c r="H49" s="24"/>
    </row>
    <row r="50" customFormat="false" ht="31.5" hidden="false" customHeight="true" outlineLevel="0" collapsed="false">
      <c r="A50" s="36" t="s">
        <v>686</v>
      </c>
      <c r="B50" s="36"/>
      <c r="C50" s="36"/>
      <c r="D50" s="36"/>
      <c r="E50" s="36"/>
      <c r="F50" s="36"/>
      <c r="G50" s="36"/>
      <c r="H50" s="36"/>
    </row>
    <row r="51" customFormat="false" ht="31.5" hidden="false" customHeight="true" outlineLevel="0" collapsed="false">
      <c r="A51" s="35" t="s">
        <v>687</v>
      </c>
      <c r="B51" s="35"/>
      <c r="C51" s="35"/>
      <c r="D51" s="35"/>
      <c r="E51" s="35"/>
      <c r="F51" s="35"/>
      <c r="G51" s="35"/>
      <c r="H51" s="35"/>
    </row>
    <row r="52" customFormat="false" ht="31.5" hidden="false" customHeight="true" outlineLevel="0" collapsed="false">
      <c r="A52" s="36" t="s">
        <v>688</v>
      </c>
      <c r="B52" s="36"/>
      <c r="C52" s="36"/>
      <c r="D52" s="36"/>
      <c r="E52" s="36"/>
      <c r="F52" s="36"/>
      <c r="G52" s="36"/>
      <c r="H52" s="36"/>
    </row>
    <row r="53" customFormat="false" ht="31.5" hidden="false" customHeight="true" outlineLevel="0" collapsed="false">
      <c r="A53" s="36" t="s">
        <v>689</v>
      </c>
      <c r="B53" s="36"/>
      <c r="C53" s="36"/>
      <c r="D53" s="36"/>
      <c r="E53" s="36"/>
      <c r="F53" s="36"/>
      <c r="G53" s="36"/>
      <c r="H53" s="36"/>
    </row>
    <row r="54" customFormat="false" ht="31.5" hidden="false" customHeight="true" outlineLevel="0" collapsed="false">
      <c r="A54" s="37" t="s">
        <v>690</v>
      </c>
      <c r="B54" s="37"/>
      <c r="C54" s="37"/>
      <c r="D54" s="37"/>
      <c r="E54" s="37"/>
      <c r="F54" s="37"/>
      <c r="G54" s="37"/>
      <c r="H54" s="37"/>
    </row>
    <row r="55" customFormat="false" ht="15.75" hidden="false" customHeight="true" outlineLevel="0" collapsed="false"/>
    <row r="56" customFormat="false" ht="13.5" hidden="false" customHeight="true" outlineLevel="0" collapsed="false">
      <c r="A56" s="13" t="s">
        <v>691</v>
      </c>
      <c r="B56" s="13"/>
      <c r="C56" s="13"/>
      <c r="D56" s="13"/>
      <c r="E56" s="13"/>
      <c r="F56" s="13"/>
      <c r="G56" s="13"/>
      <c r="H56" s="13"/>
    </row>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mergeCells count="68">
    <mergeCell ref="A1:H1"/>
    <mergeCell ref="A2:H2"/>
    <mergeCell ref="A4:H4"/>
    <mergeCell ref="C5:E5"/>
    <mergeCell ref="G5:H5"/>
    <mergeCell ref="C6:E6"/>
    <mergeCell ref="G6:H6"/>
    <mergeCell ref="C7:E7"/>
    <mergeCell ref="G7:H7"/>
    <mergeCell ref="C8:E8"/>
    <mergeCell ref="G8:H8"/>
    <mergeCell ref="C9:E9"/>
    <mergeCell ref="G9:H9"/>
    <mergeCell ref="C10:E10"/>
    <mergeCell ref="G10:H10"/>
    <mergeCell ref="C11:E11"/>
    <mergeCell ref="G11:H11"/>
    <mergeCell ref="C12:E12"/>
    <mergeCell ref="G12:H12"/>
    <mergeCell ref="A14:H14"/>
    <mergeCell ref="A15:H15"/>
    <mergeCell ref="G16:H16"/>
    <mergeCell ref="G17:H17"/>
    <mergeCell ref="G18:H18"/>
    <mergeCell ref="G19:H19"/>
    <mergeCell ref="G20:H20"/>
    <mergeCell ref="G21:H21"/>
    <mergeCell ref="G22:H22"/>
    <mergeCell ref="A23:D23"/>
    <mergeCell ref="A24:H24"/>
    <mergeCell ref="A26:H26"/>
    <mergeCell ref="C27:E27"/>
    <mergeCell ref="F27:G27"/>
    <mergeCell ref="C28:E28"/>
    <mergeCell ref="F28:G28"/>
    <mergeCell ref="C29:E29"/>
    <mergeCell ref="F29:G29"/>
    <mergeCell ref="C30:E30"/>
    <mergeCell ref="F30:G30"/>
    <mergeCell ref="C31:E31"/>
    <mergeCell ref="F31:G31"/>
    <mergeCell ref="C32:E32"/>
    <mergeCell ref="F32:G32"/>
    <mergeCell ref="C33:E33"/>
    <mergeCell ref="F33:G33"/>
    <mergeCell ref="C34:E34"/>
    <mergeCell ref="F34:G34"/>
    <mergeCell ref="C35:E35"/>
    <mergeCell ref="F35:G35"/>
    <mergeCell ref="C36:E36"/>
    <mergeCell ref="F36:G36"/>
    <mergeCell ref="C37:E37"/>
    <mergeCell ref="F37:G37"/>
    <mergeCell ref="C38:E38"/>
    <mergeCell ref="F38:G38"/>
    <mergeCell ref="C39:E39"/>
    <mergeCell ref="F39:G39"/>
    <mergeCell ref="A41:H41"/>
    <mergeCell ref="A42:H42"/>
    <mergeCell ref="A46:H46"/>
    <mergeCell ref="A47:H47"/>
    <mergeCell ref="A49:H49"/>
    <mergeCell ref="A50:H50"/>
    <mergeCell ref="A51:H51"/>
    <mergeCell ref="A52:H52"/>
    <mergeCell ref="A53:H53"/>
    <mergeCell ref="A54:H54"/>
    <mergeCell ref="A56:H5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B3" activeCellId="0" sqref="B3"/>
    </sheetView>
  </sheetViews>
  <sheetFormatPr defaultColWidth="12.62890625" defaultRowHeight="15" customHeight="true" zeroHeight="false" outlineLevelRow="0" outlineLevelCol="0"/>
  <cols>
    <col collapsed="false" customWidth="true" hidden="false" outlineLevel="0" max="1" min="1" style="1" width="30"/>
    <col collapsed="false" customWidth="true" hidden="false" outlineLevel="0" max="2" min="2" style="1" width="16"/>
    <col collapsed="false" customWidth="true" hidden="false" outlineLevel="0" max="8" min="3" style="1" width="15"/>
    <col collapsed="false" customWidth="true" hidden="false" outlineLevel="0" max="26" min="9" style="1" width="8.5"/>
  </cols>
  <sheetData>
    <row r="1" customFormat="false" ht="24" hidden="false" customHeight="true" outlineLevel="0" collapsed="false">
      <c r="A1" s="23" t="s">
        <v>692</v>
      </c>
      <c r="B1" s="23"/>
      <c r="C1" s="23"/>
      <c r="D1" s="23"/>
      <c r="E1" s="23"/>
      <c r="F1" s="23"/>
      <c r="G1" s="23"/>
      <c r="H1" s="23"/>
    </row>
    <row r="2" customFormat="false" ht="16.5" hidden="false" customHeight="true" outlineLevel="0" collapsed="false">
      <c r="A2" s="14" t="s">
        <v>693</v>
      </c>
      <c r="B2" s="14"/>
      <c r="C2" s="14"/>
      <c r="D2" s="14"/>
      <c r="E2" s="14"/>
      <c r="F2" s="14"/>
      <c r="G2" s="14"/>
      <c r="H2" s="14"/>
    </row>
    <row r="4" customFormat="false" ht="16.5" hidden="false" customHeight="true" outlineLevel="0" collapsed="false">
      <c r="A4" s="24" t="s">
        <v>694</v>
      </c>
      <c r="B4" s="24"/>
      <c r="C4" s="24"/>
      <c r="D4" s="24"/>
      <c r="E4" s="24"/>
      <c r="F4" s="24"/>
      <c r="G4" s="24"/>
      <c r="H4" s="24"/>
    </row>
    <row r="5" customFormat="false" ht="25.5" hidden="false" customHeight="true" outlineLevel="0" collapsed="false">
      <c r="A5" s="66" t="s">
        <v>695</v>
      </c>
      <c r="B5" s="27" t="s">
        <v>696</v>
      </c>
      <c r="C5" s="27"/>
      <c r="D5" s="27"/>
      <c r="E5" s="27"/>
      <c r="F5" s="27"/>
      <c r="G5" s="27"/>
      <c r="H5" s="27"/>
    </row>
    <row r="6" customFormat="false" ht="25.5" hidden="false" customHeight="true" outlineLevel="0" collapsed="false">
      <c r="A6" s="63" t="s">
        <v>697</v>
      </c>
      <c r="B6" s="33" t="s">
        <v>698</v>
      </c>
      <c r="C6" s="33"/>
      <c r="D6" s="33"/>
      <c r="E6" s="33"/>
      <c r="F6" s="33"/>
      <c r="G6" s="33"/>
      <c r="H6" s="33"/>
    </row>
    <row r="7" customFormat="false" ht="25.5" hidden="false" customHeight="true" outlineLevel="0" collapsed="false">
      <c r="A7" s="63" t="s">
        <v>699</v>
      </c>
      <c r="B7" s="27" t="s">
        <v>700</v>
      </c>
      <c r="C7" s="27"/>
      <c r="D7" s="27"/>
      <c r="E7" s="27"/>
      <c r="F7" s="27"/>
      <c r="G7" s="27"/>
      <c r="H7" s="27"/>
    </row>
    <row r="8" customFormat="false" ht="25.5" hidden="false" customHeight="true" outlineLevel="0" collapsed="false">
      <c r="A8" s="63" t="s">
        <v>701</v>
      </c>
      <c r="B8" s="27" t="s">
        <v>702</v>
      </c>
      <c r="C8" s="27"/>
      <c r="D8" s="27"/>
      <c r="E8" s="27"/>
      <c r="F8" s="27"/>
      <c r="G8" s="27"/>
      <c r="H8" s="27"/>
    </row>
    <row r="9" customFormat="false" ht="25.5" hidden="false" customHeight="true" outlineLevel="0" collapsed="false">
      <c r="A9" s="63" t="s">
        <v>703</v>
      </c>
      <c r="B9" s="33" t="s">
        <v>704</v>
      </c>
      <c r="C9" s="33"/>
      <c r="D9" s="33"/>
      <c r="E9" s="33"/>
      <c r="F9" s="33"/>
      <c r="G9" s="33"/>
      <c r="H9" s="33"/>
    </row>
    <row r="10" customFormat="false" ht="25.5" hidden="false" customHeight="true" outlineLevel="0" collapsed="false">
      <c r="A10" s="63" t="s">
        <v>705</v>
      </c>
      <c r="B10" s="27" t="s">
        <v>706</v>
      </c>
      <c r="C10" s="27"/>
      <c r="D10" s="27"/>
      <c r="E10" s="27"/>
      <c r="F10" s="27"/>
      <c r="G10" s="27"/>
      <c r="H10" s="27"/>
    </row>
    <row r="12" customFormat="false" ht="16.5" hidden="false" customHeight="true" outlineLevel="0" collapsed="false">
      <c r="A12" s="24" t="s">
        <v>707</v>
      </c>
      <c r="B12" s="24"/>
      <c r="C12" s="24"/>
      <c r="D12" s="24"/>
      <c r="E12" s="24"/>
      <c r="F12" s="24"/>
      <c r="G12" s="24"/>
      <c r="H12" s="24"/>
    </row>
    <row r="13" customFormat="false" ht="15" hidden="false" customHeight="true" outlineLevel="0" collapsed="false">
      <c r="A13" s="61" t="s">
        <v>182</v>
      </c>
      <c r="B13" s="62" t="s">
        <v>708</v>
      </c>
      <c r="C13" s="62" t="s">
        <v>709</v>
      </c>
      <c r="D13" s="61" t="s">
        <v>710</v>
      </c>
      <c r="E13" s="61" t="s">
        <v>711</v>
      </c>
      <c r="F13" s="61" t="s">
        <v>248</v>
      </c>
      <c r="G13" s="61"/>
      <c r="H13" s="61"/>
    </row>
    <row r="14" customFormat="false" ht="15" hidden="false" customHeight="true" outlineLevel="0" collapsed="false">
      <c r="A14" s="50" t="s">
        <v>712</v>
      </c>
      <c r="B14" s="128" t="n">
        <v>85</v>
      </c>
      <c r="C14" s="129" t="n">
        <v>60</v>
      </c>
      <c r="D14" s="129" t="n">
        <v>30</v>
      </c>
      <c r="E14" s="129" t="n">
        <v>15</v>
      </c>
      <c r="F14" s="44" t="s">
        <v>713</v>
      </c>
      <c r="G14" s="44"/>
      <c r="H14" s="44"/>
    </row>
    <row r="15" customFormat="false" ht="15" hidden="false" customHeight="true" outlineLevel="0" collapsed="false">
      <c r="A15" s="50" t="s">
        <v>714</v>
      </c>
      <c r="B15" s="128" t="n">
        <v>350</v>
      </c>
      <c r="C15" s="130" t="s">
        <v>208</v>
      </c>
      <c r="D15" s="129" t="n">
        <v>375</v>
      </c>
      <c r="E15" s="130" t="s">
        <v>208</v>
      </c>
      <c r="F15" s="41" t="s">
        <v>715</v>
      </c>
      <c r="G15" s="41"/>
      <c r="H15" s="41"/>
    </row>
    <row r="16" customFormat="false" ht="15" hidden="false" customHeight="true" outlineLevel="0" collapsed="false">
      <c r="A16" s="10" t="s">
        <v>716</v>
      </c>
      <c r="B16" s="131" t="n">
        <v>0.12</v>
      </c>
      <c r="C16" s="130" t="s">
        <v>208</v>
      </c>
      <c r="D16" s="130" t="s">
        <v>208</v>
      </c>
      <c r="E16" s="130" t="s">
        <v>208</v>
      </c>
      <c r="F16" s="44" t="s">
        <v>717</v>
      </c>
      <c r="G16" s="44"/>
      <c r="H16" s="44"/>
    </row>
    <row r="17" customFormat="false" ht="15" hidden="false" customHeight="true" outlineLevel="0" collapsed="false">
      <c r="A17" s="10" t="s">
        <v>718</v>
      </c>
      <c r="B17" s="131" t="n">
        <v>0.17</v>
      </c>
      <c r="C17" s="130" t="s">
        <v>208</v>
      </c>
      <c r="D17" s="130" t="s">
        <v>208</v>
      </c>
      <c r="E17" s="130" t="s">
        <v>208</v>
      </c>
      <c r="F17" s="44" t="s">
        <v>717</v>
      </c>
      <c r="G17" s="44"/>
      <c r="H17" s="44"/>
    </row>
    <row r="19" customFormat="false" ht="16.5" hidden="false" customHeight="true" outlineLevel="0" collapsed="false">
      <c r="A19" s="77" t="s">
        <v>719</v>
      </c>
      <c r="B19" s="77"/>
      <c r="C19" s="77"/>
      <c r="D19" s="77"/>
      <c r="E19" s="77"/>
      <c r="F19" s="77"/>
      <c r="G19" s="77"/>
      <c r="H19" s="77"/>
    </row>
    <row r="20" customFormat="false" ht="16.5" hidden="false" customHeight="true" outlineLevel="0" collapsed="false">
      <c r="A20" s="14" t="s">
        <v>720</v>
      </c>
      <c r="B20" s="14"/>
      <c r="C20" s="14"/>
      <c r="D20" s="14"/>
      <c r="E20" s="14"/>
      <c r="F20" s="14"/>
      <c r="G20" s="14"/>
      <c r="H20" s="14"/>
    </row>
    <row r="21" customFormat="false" ht="15.75" hidden="false" customHeight="true" outlineLevel="0" collapsed="false"/>
    <row r="22" customFormat="false" ht="16.5" hidden="false" customHeight="true" outlineLevel="0" collapsed="false">
      <c r="A22" s="24" t="s">
        <v>721</v>
      </c>
      <c r="B22" s="24"/>
      <c r="C22" s="24"/>
      <c r="D22" s="24"/>
      <c r="E22" s="24"/>
      <c r="F22" s="24"/>
      <c r="G22" s="24"/>
      <c r="H22" s="24"/>
    </row>
    <row r="23" customFormat="false" ht="15" hidden="false" customHeight="true" outlineLevel="0" collapsed="false">
      <c r="A23" s="61" t="s">
        <v>722</v>
      </c>
      <c r="B23" s="62" t="s">
        <v>723</v>
      </c>
      <c r="C23" s="62" t="s">
        <v>724</v>
      </c>
      <c r="D23" s="62" t="s">
        <v>725</v>
      </c>
      <c r="E23" s="61" t="s">
        <v>726</v>
      </c>
      <c r="F23" s="61"/>
      <c r="G23" s="61"/>
      <c r="H23" s="61"/>
    </row>
    <row r="24" customFormat="false" ht="27.75" hidden="false" customHeight="true" outlineLevel="0" collapsed="false">
      <c r="A24" s="97" t="s">
        <v>727</v>
      </c>
      <c r="B24" s="79" t="n">
        <f aca="false">MixPath!B26</f>
        <v>0.529816859006523</v>
      </c>
      <c r="C24" s="45" t="n">
        <f aca="false">B24*Assumptions!$B$19</f>
        <v>47828.6871299548</v>
      </c>
      <c r="D24" s="126" t="s">
        <v>728</v>
      </c>
      <c r="E24" s="27" t="s">
        <v>729</v>
      </c>
      <c r="F24" s="27"/>
      <c r="G24" s="27"/>
      <c r="H24" s="27"/>
    </row>
    <row r="25" customFormat="false" ht="27.75" hidden="false" customHeight="true" outlineLevel="0" collapsed="false">
      <c r="A25" s="132" t="s">
        <v>730</v>
      </c>
      <c r="B25" s="79" t="n">
        <f aca="false">MixPath!B27</f>
        <v>0.230183140993477</v>
      </c>
      <c r="C25" s="45" t="n">
        <f aca="false">B25*Assumptions!$B$19</f>
        <v>20779.5528700452</v>
      </c>
      <c r="D25" s="125" t="s">
        <v>731</v>
      </c>
      <c r="E25" s="27" t="s">
        <v>732</v>
      </c>
      <c r="F25" s="27"/>
      <c r="G25" s="27"/>
      <c r="H25" s="27"/>
    </row>
    <row r="26" customFormat="false" ht="27.75" hidden="false" customHeight="true" outlineLevel="0" collapsed="false">
      <c r="A26" s="133" t="s">
        <v>733</v>
      </c>
      <c r="B26" s="79" t="n">
        <f aca="false">MixPath!B28</f>
        <v>0.24</v>
      </c>
      <c r="C26" s="45" t="n">
        <f aca="false">B26*Assumptions!$B$19</f>
        <v>21665.76</v>
      </c>
      <c r="D26" s="127" t="s">
        <v>734</v>
      </c>
      <c r="E26" s="27" t="s">
        <v>735</v>
      </c>
      <c r="F26" s="27"/>
      <c r="G26" s="27"/>
      <c r="H26" s="27"/>
    </row>
    <row r="27" customFormat="false" ht="16.5" hidden="false" customHeight="true" outlineLevel="0" collapsed="false">
      <c r="A27" s="77" t="s">
        <v>736</v>
      </c>
      <c r="B27" s="77"/>
      <c r="C27" s="77"/>
      <c r="D27" s="77"/>
      <c r="E27" s="77"/>
      <c r="F27" s="77"/>
      <c r="G27" s="77"/>
      <c r="H27" s="77"/>
    </row>
    <row r="28" customFormat="false" ht="15.75" hidden="false" customHeight="true" outlineLevel="0" collapsed="false"/>
    <row r="29" customFormat="false" ht="16.5" hidden="false" customHeight="true" outlineLevel="0" collapsed="false">
      <c r="A29" s="24" t="s">
        <v>737</v>
      </c>
      <c r="B29" s="24"/>
      <c r="C29" s="24"/>
      <c r="D29" s="24"/>
      <c r="E29" s="24"/>
      <c r="F29" s="24"/>
      <c r="G29" s="24"/>
      <c r="H29" s="24"/>
    </row>
    <row r="30" customFormat="false" ht="13.5" hidden="false" customHeight="true" outlineLevel="0" collapsed="false">
      <c r="A30" s="134" t="s">
        <v>738</v>
      </c>
      <c r="B30" s="134"/>
      <c r="C30" s="134"/>
      <c r="D30" s="134"/>
      <c r="E30" s="134"/>
      <c r="F30" s="134"/>
      <c r="G30" s="134"/>
      <c r="H30" s="134"/>
    </row>
    <row r="31" customFormat="false" ht="15" hidden="false" customHeight="true" outlineLevel="0" collapsed="false">
      <c r="A31" s="25" t="s">
        <v>739</v>
      </c>
      <c r="B31" s="91" t="s">
        <v>740</v>
      </c>
      <c r="C31" s="25" t="s">
        <v>741</v>
      </c>
      <c r="D31" s="25" t="s">
        <v>742</v>
      </c>
      <c r="E31" s="91" t="s">
        <v>743</v>
      </c>
      <c r="F31" s="91" t="s">
        <v>680</v>
      </c>
      <c r="G31" s="91" t="s">
        <v>681</v>
      </c>
    </row>
    <row r="32" customFormat="false" ht="15" hidden="false" customHeight="true" outlineLevel="0" collapsed="false">
      <c r="A32" s="84" t="n">
        <v>0</v>
      </c>
      <c r="B32" s="45" t="n">
        <f aca="false">Consensus!F6*MixPath!$D$26*A32</f>
        <v>0</v>
      </c>
      <c r="C32" s="45" t="n">
        <f aca="false">Consensus!F15-B32*0.85</f>
        <v>189388</v>
      </c>
      <c r="D32" s="52" t="n">
        <f aca="false">C32/Assumptions!$B$6</f>
        <v>167.6</v>
      </c>
      <c r="E32" s="96" t="n">
        <f aca="false">D32*6</f>
        <v>1005.6</v>
      </c>
      <c r="F32" s="96" t="n">
        <f aca="false">D32*9</f>
        <v>1508.4</v>
      </c>
      <c r="G32" s="96" t="n">
        <f aca="false">D32*12</f>
        <v>2011.2</v>
      </c>
    </row>
    <row r="33" customFormat="false" ht="15" hidden="false" customHeight="true" outlineLevel="0" collapsed="false">
      <c r="A33" s="84" t="n">
        <v>0.1</v>
      </c>
      <c r="B33" s="45" t="n">
        <f aca="false">Consensus!F6*MixPath!$D$26*A33</f>
        <v>16784.2460377359</v>
      </c>
      <c r="C33" s="45" t="n">
        <f aca="false">Consensus!F15-B33*0.85</f>
        <v>175121.390867925</v>
      </c>
      <c r="D33" s="52" t="n">
        <f aca="false">C33/Assumptions!$B$6</f>
        <v>154.974682184004</v>
      </c>
      <c r="E33" s="96" t="n">
        <f aca="false">D33*6</f>
        <v>929.848093104024</v>
      </c>
      <c r="F33" s="96" t="n">
        <f aca="false">D33*9</f>
        <v>1394.77213965604</v>
      </c>
      <c r="G33" s="96" t="n">
        <f aca="false">D33*12</f>
        <v>1859.69618620805</v>
      </c>
    </row>
    <row r="34" customFormat="false" ht="15" hidden="false" customHeight="true" outlineLevel="0" collapsed="false">
      <c r="A34" s="84" t="n">
        <v>0.2</v>
      </c>
      <c r="B34" s="45" t="n">
        <f aca="false">Consensus!F6*MixPath!$D$26*A34</f>
        <v>33568.4920754717</v>
      </c>
      <c r="C34" s="45" t="n">
        <f aca="false">Consensus!F15-B34*0.85</f>
        <v>160854.781735849</v>
      </c>
      <c r="D34" s="52" t="n">
        <f aca="false">C34/Assumptions!$B$6</f>
        <v>142.349364368008</v>
      </c>
      <c r="E34" s="96" t="n">
        <f aca="false">D34*6</f>
        <v>854.096186208048</v>
      </c>
      <c r="F34" s="96" t="n">
        <f aca="false">D34*9</f>
        <v>1281.14427931207</v>
      </c>
      <c r="G34" s="96" t="n">
        <f aca="false">D34*12</f>
        <v>1708.1923724161</v>
      </c>
    </row>
    <row r="35" customFormat="false" ht="15" hidden="false" customHeight="true" outlineLevel="0" collapsed="false">
      <c r="A35" s="84" t="n">
        <v>0.3</v>
      </c>
      <c r="B35" s="45" t="n">
        <f aca="false">Consensus!F6*MixPath!$D$26*A35</f>
        <v>50352.7381132076</v>
      </c>
      <c r="C35" s="45" t="n">
        <f aca="false">Consensus!F15-B35*0.85</f>
        <v>146588.172603774</v>
      </c>
      <c r="D35" s="52" t="n">
        <f aca="false">C35/Assumptions!$B$6</f>
        <v>129.724046552012</v>
      </c>
      <c r="E35" s="96" t="n">
        <f aca="false">D35*6</f>
        <v>778.344279312072</v>
      </c>
      <c r="F35" s="96" t="n">
        <f aca="false">D35*9</f>
        <v>1167.51641896811</v>
      </c>
      <c r="G35" s="96" t="n">
        <f aca="false">D35*12</f>
        <v>1556.68855862414</v>
      </c>
    </row>
    <row r="36" customFormat="false" ht="15" hidden="false" customHeight="true" outlineLevel="0" collapsed="false">
      <c r="A36" s="84" t="n">
        <v>0.4</v>
      </c>
      <c r="B36" s="45" t="n">
        <f aca="false">Consensus!F6*MixPath!$D$26*A36</f>
        <v>67136.9841509434</v>
      </c>
      <c r="C36" s="45" t="n">
        <f aca="false">Consensus!F15-B36*0.85</f>
        <v>132321.563471698</v>
      </c>
      <c r="D36" s="52" t="n">
        <f aca="false">C36/Assumptions!$B$6</f>
        <v>117.098728736016</v>
      </c>
      <c r="E36" s="96" t="n">
        <f aca="false">D36*6</f>
        <v>702.592372416096</v>
      </c>
      <c r="F36" s="96" t="n">
        <f aca="false">D36*9</f>
        <v>1053.88855862414</v>
      </c>
      <c r="G36" s="96" t="n">
        <f aca="false">D36*12</f>
        <v>1405.18474483219</v>
      </c>
    </row>
    <row r="37" customFormat="false" ht="15" hidden="false" customHeight="true" outlineLevel="0" collapsed="false">
      <c r="A37" s="84" t="n">
        <v>0.5</v>
      </c>
      <c r="B37" s="45" t="n">
        <f aca="false">Consensus!F6*MixPath!$D$26*A37</f>
        <v>83921.2301886793</v>
      </c>
      <c r="C37" s="45" t="n">
        <f aca="false">Consensus!F15-B37*0.85</f>
        <v>118054.954339623</v>
      </c>
      <c r="D37" s="52" t="n">
        <f aca="false">C37/Assumptions!$B$6</f>
        <v>104.47341092002</v>
      </c>
      <c r="E37" s="96" t="n">
        <f aca="false">D37*6</f>
        <v>626.84046552012</v>
      </c>
      <c r="F37" s="96" t="n">
        <f aca="false">D37*9</f>
        <v>940.26069828018</v>
      </c>
      <c r="G37" s="96" t="n">
        <f aca="false">D37*12</f>
        <v>1253.68093104024</v>
      </c>
    </row>
    <row r="38" customFormat="false" ht="16.5" hidden="false" customHeight="true" outlineLevel="0" collapsed="false">
      <c r="A38" s="77" t="s">
        <v>744</v>
      </c>
      <c r="B38" s="77"/>
      <c r="C38" s="77"/>
      <c r="D38" s="77"/>
      <c r="E38" s="77"/>
      <c r="F38" s="77"/>
      <c r="G38" s="77"/>
      <c r="H38" s="77"/>
    </row>
    <row r="39" customFormat="false" ht="15.75" hidden="false" customHeight="true" outlineLevel="0" collapsed="false">
      <c r="A39" s="20" t="s">
        <v>745</v>
      </c>
    </row>
    <row r="40" customFormat="false" ht="16.5" hidden="false" customHeight="true" outlineLevel="0" collapsed="false">
      <c r="A40" s="24" t="s">
        <v>746</v>
      </c>
      <c r="B40" s="24"/>
      <c r="C40" s="24"/>
      <c r="D40" s="24"/>
      <c r="E40" s="24"/>
      <c r="F40" s="24"/>
      <c r="G40" s="24"/>
      <c r="H40" s="24"/>
    </row>
    <row r="41" customFormat="false" ht="13.5" hidden="false" customHeight="true" outlineLevel="0" collapsed="false">
      <c r="A41" s="13" t="s">
        <v>747</v>
      </c>
      <c r="B41" s="13"/>
      <c r="C41" s="13"/>
      <c r="D41" s="13"/>
      <c r="E41" s="13"/>
      <c r="F41" s="13"/>
      <c r="G41" s="13"/>
      <c r="H41" s="13"/>
    </row>
    <row r="42" customFormat="false" ht="15" hidden="false" customHeight="true" outlineLevel="0" collapsed="false">
      <c r="A42" s="61" t="s">
        <v>34</v>
      </c>
      <c r="B42" s="62" t="s">
        <v>748</v>
      </c>
      <c r="C42" s="61" t="s">
        <v>340</v>
      </c>
      <c r="D42" s="61" t="s">
        <v>341</v>
      </c>
      <c r="E42" s="61" t="s">
        <v>342</v>
      </c>
      <c r="F42" s="61" t="s">
        <v>349</v>
      </c>
      <c r="G42" s="61"/>
      <c r="H42" s="61"/>
    </row>
    <row r="43" customFormat="false" ht="15" hidden="false" customHeight="true" outlineLevel="0" collapsed="false">
      <c r="A43" s="92" t="s">
        <v>749</v>
      </c>
      <c r="B43" s="60" t="n">
        <v>0.1</v>
      </c>
      <c r="C43" s="46" t="n">
        <f aca="false">(Assumptions!$B$28-Assumptions!$B$29)/(B43-Assumptions!$B$29)</f>
        <v>5</v>
      </c>
      <c r="D43" s="94" t="n">
        <f aca="false">C43*Consensus!F24</f>
        <v>2189.7</v>
      </c>
      <c r="E43" s="49" t="n">
        <f aca="false">D43/Assumptions!$B$5-1</f>
        <v>1.433</v>
      </c>
      <c r="F43" s="41" t="s">
        <v>750</v>
      </c>
      <c r="G43" s="41"/>
      <c r="H43" s="41"/>
    </row>
    <row r="44" customFormat="false" ht="15" hidden="false" customHeight="true" outlineLevel="0" collapsed="false">
      <c r="A44" s="95" t="s">
        <v>751</v>
      </c>
      <c r="B44" s="60" t="n">
        <v>0.15</v>
      </c>
      <c r="C44" s="46" t="n">
        <f aca="false">(Assumptions!$B$28-Assumptions!$B$29)/(B44-Assumptions!$B$29)</f>
        <v>2.5</v>
      </c>
      <c r="D44" s="96" t="n">
        <f aca="false">C44*Consensus!F24</f>
        <v>1094.85</v>
      </c>
      <c r="E44" s="49" t="n">
        <f aca="false">D44/Assumptions!$B$5-1</f>
        <v>0.2165</v>
      </c>
      <c r="F44" s="41" t="s">
        <v>752</v>
      </c>
      <c r="G44" s="41"/>
      <c r="H44" s="41"/>
    </row>
    <row r="45" customFormat="false" ht="15" hidden="false" customHeight="true" outlineLevel="0" collapsed="false">
      <c r="A45" s="97" t="s">
        <v>753</v>
      </c>
      <c r="B45" s="60" t="n">
        <v>0.18</v>
      </c>
      <c r="C45" s="46" t="n">
        <f aca="false">(Assumptions!$B$28-Assumptions!$B$29)/(B45-Assumptions!$B$29)</f>
        <v>1.92307692307692</v>
      </c>
      <c r="D45" s="98" t="n">
        <f aca="false">C45*Consensus!F24</f>
        <v>842.192307692308</v>
      </c>
      <c r="E45" s="49" t="n">
        <f aca="false">D45/Assumptions!$B$5-1</f>
        <v>-0.0642307692307693</v>
      </c>
      <c r="F45" s="41" t="s">
        <v>754</v>
      </c>
      <c r="G45" s="41"/>
      <c r="H45" s="41"/>
    </row>
    <row r="46" customFormat="false" ht="15" hidden="false" customHeight="true" outlineLevel="0" collapsed="false">
      <c r="A46" s="97" t="s">
        <v>755</v>
      </c>
      <c r="B46" s="60" t="n">
        <v>0.22</v>
      </c>
      <c r="C46" s="46" t="n">
        <f aca="false">(Assumptions!$B$28-Assumptions!$B$29)/(B46-Assumptions!$B$29)</f>
        <v>1.47058823529412</v>
      </c>
      <c r="D46" s="98" t="n">
        <f aca="false">C46*Consensus!F24</f>
        <v>644.029411764706</v>
      </c>
      <c r="E46" s="49" t="n">
        <f aca="false">D46/Assumptions!$B$5-1</f>
        <v>-0.284411764705882</v>
      </c>
      <c r="F46" s="41" t="s">
        <v>756</v>
      </c>
      <c r="G46" s="41"/>
      <c r="H46" s="41"/>
    </row>
    <row r="47" customFormat="false" ht="15.75" hidden="false" customHeight="true" outlineLevel="0" collapsed="false"/>
    <row r="48" customFormat="false" ht="16.5" hidden="false" customHeight="true" outlineLevel="0" collapsed="false">
      <c r="A48" s="14" t="str">
        <f aca="false">"The current price of "&amp;TEXT(Assumptions!B5,"$#,##0")&amp;" implies a cost of equity near 18%. Nomura argues for 10%. That 8pp gap is the entire debate."</f>
        <v>The current price of $900 implies a cost of equity near 18%. Nomura argues for 10%. That 8pp gap is the entire debate.</v>
      </c>
      <c r="B48" s="14"/>
      <c r="C48" s="14"/>
      <c r="D48" s="14"/>
      <c r="E48" s="14"/>
      <c r="F48" s="14"/>
      <c r="G48" s="14"/>
      <c r="H48" s="14"/>
    </row>
    <row r="49" customFormat="false" ht="16.5" hidden="false" customHeight="true" outlineLevel="0" collapsed="false">
      <c r="A49" s="77" t="s">
        <v>757</v>
      </c>
      <c r="B49" s="77"/>
      <c r="C49" s="77"/>
      <c r="D49" s="77"/>
      <c r="E49" s="77"/>
      <c r="F49" s="77"/>
      <c r="G49" s="77"/>
      <c r="H49" s="77"/>
    </row>
    <row r="50" customFormat="false" ht="15.75" hidden="false" customHeight="true" outlineLevel="0" collapsed="false"/>
    <row r="51" customFormat="false" ht="16.5" hidden="false" customHeight="true" outlineLevel="0" collapsed="false">
      <c r="A51" s="24" t="s">
        <v>758</v>
      </c>
      <c r="B51" s="24"/>
      <c r="C51" s="24"/>
      <c r="D51" s="24"/>
      <c r="E51" s="24"/>
      <c r="F51" s="24"/>
      <c r="G51" s="24"/>
      <c r="H51" s="24"/>
    </row>
    <row r="52" customFormat="false" ht="25.5" hidden="false" customHeight="true" outlineLevel="0" collapsed="false">
      <c r="A52" s="66" t="s">
        <v>759</v>
      </c>
      <c r="B52" s="27" t="s">
        <v>760</v>
      </c>
      <c r="C52" s="27"/>
      <c r="D52" s="27"/>
      <c r="E52" s="27"/>
      <c r="F52" s="27"/>
      <c r="G52" s="27"/>
      <c r="H52" s="27"/>
    </row>
    <row r="53" customFormat="false" ht="25.5" hidden="false" customHeight="true" outlineLevel="0" collapsed="false">
      <c r="A53" s="66" t="s">
        <v>761</v>
      </c>
      <c r="B53" s="33" t="s">
        <v>762</v>
      </c>
      <c r="C53" s="33"/>
      <c r="D53" s="33"/>
      <c r="E53" s="33"/>
      <c r="F53" s="33"/>
      <c r="G53" s="33"/>
      <c r="H53" s="33"/>
    </row>
    <row r="54" customFormat="false" ht="25.5" hidden="false" customHeight="true" outlineLevel="0" collapsed="false">
      <c r="A54" s="66" t="s">
        <v>763</v>
      </c>
      <c r="B54" s="27" t="s">
        <v>764</v>
      </c>
      <c r="C54" s="27"/>
      <c r="D54" s="27"/>
      <c r="E54" s="27"/>
      <c r="F54" s="27"/>
      <c r="G54" s="27"/>
      <c r="H54" s="27"/>
    </row>
    <row r="55" customFormat="false" ht="25.5" hidden="false" customHeight="true" outlineLevel="0" collapsed="false">
      <c r="A55" s="63" t="s">
        <v>765</v>
      </c>
      <c r="B55" s="33" t="s">
        <v>766</v>
      </c>
      <c r="C55" s="33"/>
      <c r="D55" s="33"/>
      <c r="E55" s="33"/>
      <c r="F55" s="33"/>
      <c r="G55" s="33"/>
      <c r="H55" s="33"/>
    </row>
    <row r="56" customFormat="false" ht="25.5" hidden="false" customHeight="true" outlineLevel="0" collapsed="false">
      <c r="A56" s="63" t="s">
        <v>767</v>
      </c>
      <c r="B56" s="33" t="s">
        <v>768</v>
      </c>
      <c r="C56" s="33"/>
      <c r="D56" s="33"/>
      <c r="E56" s="33"/>
      <c r="F56" s="33"/>
      <c r="G56" s="33"/>
      <c r="H56" s="33"/>
    </row>
    <row r="57" customFormat="false" ht="25.5" hidden="false" customHeight="true" outlineLevel="0" collapsed="false">
      <c r="A57" s="63" t="s">
        <v>769</v>
      </c>
      <c r="B57" s="33" t="s">
        <v>770</v>
      </c>
      <c r="C57" s="33"/>
      <c r="D57" s="33"/>
      <c r="E57" s="33"/>
      <c r="F57" s="33"/>
      <c r="G57" s="33"/>
      <c r="H57" s="33"/>
    </row>
    <row r="58" customFormat="false" ht="15.75" hidden="false" customHeight="true" outlineLevel="0" collapsed="false"/>
    <row r="59" customFormat="false" ht="13.5" hidden="false" customHeight="true" outlineLevel="0" collapsed="false">
      <c r="A59" s="13" t="s">
        <v>771</v>
      </c>
      <c r="B59" s="13"/>
      <c r="C59" s="13"/>
      <c r="D59" s="13"/>
      <c r="E59" s="13"/>
      <c r="F59" s="13"/>
      <c r="G59" s="13"/>
      <c r="H59" s="13"/>
    </row>
    <row r="60" customFormat="false" ht="15.75" hidden="false" customHeight="true" outlineLevel="0" collapsed="false"/>
    <row r="61" customFormat="false" ht="15.75" hidden="false" customHeight="true" outlineLevel="0" collapsed="false"/>
    <row r="62" customFormat="false" ht="16.5" hidden="false" customHeight="true" outlineLevel="0" collapsed="false">
      <c r="A62" s="24" t="s">
        <v>772</v>
      </c>
      <c r="B62" s="24"/>
      <c r="C62" s="24"/>
      <c r="D62" s="24"/>
      <c r="E62" s="24"/>
      <c r="F62" s="24"/>
      <c r="G62" s="24"/>
      <c r="H62" s="24"/>
    </row>
    <row r="63" customFormat="false" ht="25.5" hidden="false" customHeight="true" outlineLevel="0" collapsed="false">
      <c r="A63" s="63" t="s">
        <v>773</v>
      </c>
      <c r="B63" s="27" t="s">
        <v>774</v>
      </c>
      <c r="C63" s="27"/>
      <c r="D63" s="27"/>
      <c r="E63" s="27"/>
      <c r="F63" s="27"/>
      <c r="G63" s="27"/>
      <c r="H63" s="27"/>
    </row>
    <row r="64" customFormat="false" ht="25.5" hidden="false" customHeight="true" outlineLevel="0" collapsed="false">
      <c r="A64" s="63" t="s">
        <v>775</v>
      </c>
      <c r="B64" s="27" t="s">
        <v>776</v>
      </c>
      <c r="C64" s="27"/>
      <c r="D64" s="27"/>
      <c r="E64" s="27"/>
      <c r="F64" s="27"/>
      <c r="G64" s="27"/>
      <c r="H64" s="27"/>
    </row>
    <row r="65" customFormat="false" ht="25.5" hidden="false" customHeight="true" outlineLevel="0" collapsed="false">
      <c r="A65" s="63" t="s">
        <v>777</v>
      </c>
      <c r="B65" s="33" t="s">
        <v>778</v>
      </c>
      <c r="C65" s="33"/>
      <c r="D65" s="33"/>
      <c r="E65" s="33"/>
      <c r="F65" s="33"/>
      <c r="G65" s="33"/>
      <c r="H65" s="33"/>
    </row>
    <row r="66" customFormat="false" ht="25.5" hidden="false" customHeight="true" outlineLevel="0" collapsed="false">
      <c r="A66" s="63" t="s">
        <v>779</v>
      </c>
      <c r="B66" s="33" t="s">
        <v>780</v>
      </c>
      <c r="C66" s="33"/>
      <c r="D66" s="33"/>
      <c r="E66" s="33"/>
      <c r="F66" s="33"/>
      <c r="G66" s="33"/>
      <c r="H66" s="33"/>
    </row>
    <row r="67" customFormat="false" ht="25.5" hidden="false" customHeight="true" outlineLevel="0" collapsed="false">
      <c r="A67" s="63" t="s">
        <v>781</v>
      </c>
      <c r="B67" s="33" t="s">
        <v>782</v>
      </c>
      <c r="C67" s="33"/>
      <c r="D67" s="33"/>
      <c r="E67" s="33"/>
      <c r="F67" s="33"/>
      <c r="G67" s="33"/>
      <c r="H67" s="33"/>
    </row>
    <row r="68" customFormat="false" ht="25.5" hidden="false" customHeight="true" outlineLevel="0" collapsed="false">
      <c r="A68" s="63" t="s">
        <v>783</v>
      </c>
      <c r="B68" s="33" t="s">
        <v>784</v>
      </c>
      <c r="C68" s="33"/>
      <c r="D68" s="33"/>
      <c r="E68" s="33"/>
      <c r="F68" s="33"/>
      <c r="G68" s="33"/>
      <c r="H68" s="33"/>
    </row>
    <row r="69" customFormat="false" ht="15.75" hidden="false" customHeight="true" outlineLevel="0" collapsed="false"/>
    <row r="70" customFormat="false" ht="16.5" hidden="false" customHeight="true" outlineLevel="0" collapsed="false">
      <c r="A70" s="24" t="s">
        <v>785</v>
      </c>
      <c r="B70" s="24"/>
      <c r="C70" s="24"/>
      <c r="D70" s="24"/>
      <c r="E70" s="24"/>
      <c r="F70" s="24"/>
      <c r="G70" s="24"/>
      <c r="H70" s="24"/>
    </row>
    <row r="71" customFormat="false" ht="15" hidden="false" customHeight="true" outlineLevel="0" collapsed="false">
      <c r="A71" s="61" t="s">
        <v>786</v>
      </c>
      <c r="B71" s="61" t="s">
        <v>787</v>
      </c>
      <c r="C71" s="61" t="s">
        <v>408</v>
      </c>
      <c r="D71" s="62" t="s">
        <v>788</v>
      </c>
      <c r="E71" s="62"/>
      <c r="F71" s="62"/>
      <c r="G71" s="62"/>
      <c r="H71" s="62"/>
    </row>
    <row r="72" customFormat="false" ht="15" hidden="false" customHeight="true" outlineLevel="0" collapsed="false">
      <c r="A72" s="135" t="s">
        <v>789</v>
      </c>
      <c r="B72" s="10" t="s">
        <v>790</v>
      </c>
      <c r="C72" s="10" t="s">
        <v>791</v>
      </c>
      <c r="D72" s="97" t="s">
        <v>792</v>
      </c>
      <c r="E72" s="97"/>
      <c r="F72" s="97"/>
      <c r="G72" s="97"/>
      <c r="H72" s="97"/>
    </row>
    <row r="73" customFormat="false" ht="15" hidden="false" customHeight="true" outlineLevel="0" collapsed="false">
      <c r="A73" s="132" t="s">
        <v>793</v>
      </c>
      <c r="B73" s="10" t="s">
        <v>794</v>
      </c>
      <c r="C73" s="10" t="s">
        <v>795</v>
      </c>
      <c r="D73" s="92" t="s">
        <v>796</v>
      </c>
      <c r="E73" s="92"/>
      <c r="F73" s="92"/>
      <c r="G73" s="92"/>
      <c r="H73" s="92"/>
    </row>
    <row r="74" customFormat="false" ht="16.5" hidden="false" customHeight="true" outlineLevel="0" collapsed="false">
      <c r="A74" s="14" t="s">
        <v>797</v>
      </c>
      <c r="B74" s="14"/>
      <c r="C74" s="14"/>
      <c r="D74" s="14"/>
      <c r="E74" s="14"/>
      <c r="F74" s="14"/>
      <c r="G74" s="14"/>
      <c r="H74" s="14"/>
    </row>
    <row r="75" customFormat="false" ht="16.5" hidden="false" customHeight="true" outlineLevel="0" collapsed="false">
      <c r="A75" s="14" t="s">
        <v>798</v>
      </c>
      <c r="B75" s="14"/>
      <c r="C75" s="14"/>
      <c r="D75" s="14"/>
      <c r="E75" s="14"/>
      <c r="F75" s="14"/>
      <c r="G75" s="14"/>
      <c r="H75" s="14"/>
    </row>
    <row r="76" customFormat="false" ht="15.75" hidden="false" customHeight="true" outlineLevel="0" collapsed="false"/>
    <row r="77" customFormat="false" ht="16.5" hidden="false" customHeight="true" outlineLevel="0" collapsed="false">
      <c r="A77" s="24" t="s">
        <v>799</v>
      </c>
      <c r="B77" s="24"/>
      <c r="C77" s="24"/>
      <c r="D77" s="24"/>
      <c r="E77" s="24"/>
      <c r="F77" s="24"/>
      <c r="G77" s="24"/>
      <c r="H77" s="24"/>
    </row>
    <row r="78" customFormat="false" ht="13.5" hidden="false" customHeight="true" outlineLevel="0" collapsed="false">
      <c r="A78" s="57" t="s">
        <v>800</v>
      </c>
      <c r="B78" s="57"/>
      <c r="C78" s="57"/>
      <c r="D78" s="57"/>
      <c r="E78" s="57"/>
      <c r="F78" s="57"/>
      <c r="G78" s="57"/>
      <c r="H78" s="57"/>
    </row>
    <row r="79" customFormat="false" ht="30" hidden="false" customHeight="true" outlineLevel="0" collapsed="false">
      <c r="A79" s="25" t="s">
        <v>801</v>
      </c>
      <c r="B79" s="91" t="s">
        <v>740</v>
      </c>
      <c r="C79" s="25" t="s">
        <v>741</v>
      </c>
      <c r="D79" s="25" t="s">
        <v>742</v>
      </c>
      <c r="E79" s="91" t="s">
        <v>743</v>
      </c>
      <c r="F79" s="91" t="s">
        <v>680</v>
      </c>
      <c r="G79" s="91" t="s">
        <v>681</v>
      </c>
    </row>
    <row r="80" customFormat="false" ht="15" hidden="false" customHeight="true" outlineLevel="0" collapsed="false">
      <c r="A80" s="84" t="n">
        <v>0</v>
      </c>
      <c r="B80" s="45" t="n">
        <f aca="false">Consensus!F6*$B$24*A80</f>
        <v>0</v>
      </c>
      <c r="C80" s="45" t="n">
        <f aca="false">Consensus!F15-B80*0.7</f>
        <v>189388</v>
      </c>
      <c r="D80" s="52" t="n">
        <f aca="false">C80/Assumptions!$B$6</f>
        <v>167.6</v>
      </c>
      <c r="E80" s="96" t="n">
        <f aca="false">D80*6</f>
        <v>1005.6</v>
      </c>
      <c r="F80" s="96" t="n">
        <f aca="false">D80*9</f>
        <v>1508.4</v>
      </c>
      <c r="G80" s="96" t="n">
        <f aca="false">D80*12</f>
        <v>2011.2</v>
      </c>
    </row>
    <row r="81" customFormat="false" ht="15" hidden="false" customHeight="true" outlineLevel="0" collapsed="false">
      <c r="A81" s="84" t="n">
        <v>0.05</v>
      </c>
      <c r="B81" s="45" t="n">
        <f aca="false">Consensus!F6*$B$24*A81</f>
        <v>7552.98966946814</v>
      </c>
      <c r="C81" s="45" t="n">
        <f aca="false">Consensus!F15-B81*0.7</f>
        <v>184100.907231372</v>
      </c>
      <c r="D81" s="52" t="n">
        <f aca="false">C81/Assumptions!$B$6</f>
        <v>162.921156841922</v>
      </c>
      <c r="E81" s="96" t="n">
        <f aca="false">D81*6</f>
        <v>977.526941051534</v>
      </c>
      <c r="F81" s="96" t="n">
        <f aca="false">D81*9</f>
        <v>1466.2904115773</v>
      </c>
      <c r="G81" s="96" t="n">
        <f aca="false">D81*12</f>
        <v>1955.05388210307</v>
      </c>
    </row>
    <row r="82" customFormat="false" ht="15" hidden="false" customHeight="true" outlineLevel="0" collapsed="false">
      <c r="A82" s="84" t="n">
        <v>0.1</v>
      </c>
      <c r="B82" s="45" t="n">
        <f aca="false">Consensus!F6*$B$24*A82</f>
        <v>15105.9793389363</v>
      </c>
      <c r="C82" s="45" t="n">
        <f aca="false">Consensus!F15-B82*0.7</f>
        <v>178813.814462745</v>
      </c>
      <c r="D82" s="52" t="n">
        <f aca="false">C82/Assumptions!$B$6</f>
        <v>158.242313683845</v>
      </c>
      <c r="E82" s="96" t="n">
        <f aca="false">D82*6</f>
        <v>949.453882103069</v>
      </c>
      <c r="F82" s="96" t="n">
        <f aca="false">D82*9</f>
        <v>1424.1808231546</v>
      </c>
      <c r="G82" s="96" t="n">
        <f aca="false">D82*12</f>
        <v>1898.90776420614</v>
      </c>
    </row>
    <row r="83" customFormat="false" ht="15" hidden="false" customHeight="true" outlineLevel="0" collapsed="false">
      <c r="A83" s="84" t="n">
        <v>0.15</v>
      </c>
      <c r="B83" s="45" t="n">
        <f aca="false">Consensus!F6*$B$24*A83</f>
        <v>22658.9690084044</v>
      </c>
      <c r="C83" s="45" t="n">
        <f aca="false">Consensus!F15-B83*0.7</f>
        <v>173526.721694117</v>
      </c>
      <c r="D83" s="52" t="n">
        <f aca="false">C83/Assumptions!$B$6</f>
        <v>153.563470525767</v>
      </c>
      <c r="E83" s="96" t="n">
        <f aca="false">D83*6</f>
        <v>921.380823154603</v>
      </c>
      <c r="F83" s="96" t="n">
        <f aca="false">D83*9</f>
        <v>1382.0712347319</v>
      </c>
      <c r="G83" s="96" t="n">
        <f aca="false">D83*12</f>
        <v>1842.76164630921</v>
      </c>
    </row>
    <row r="84" customFormat="false" ht="15" hidden="false" customHeight="true" outlineLevel="0" collapsed="false">
      <c r="A84" s="84" t="n">
        <v>0.2</v>
      </c>
      <c r="B84" s="45" t="n">
        <f aca="false">Consensus!F6*$B$24*A84</f>
        <v>30211.9586778726</v>
      </c>
      <c r="C84" s="45" t="n">
        <f aca="false">Consensus!F15-B84*0.7</f>
        <v>168239.628925489</v>
      </c>
      <c r="D84" s="52" t="n">
        <f aca="false">C84/Assumptions!$B$6</f>
        <v>148.88462736769</v>
      </c>
      <c r="E84" s="96" t="n">
        <f aca="false">D84*6</f>
        <v>893.307764206137</v>
      </c>
      <c r="F84" s="96" t="n">
        <f aca="false">D84*9</f>
        <v>1339.96164630921</v>
      </c>
      <c r="G84" s="96" t="n">
        <f aca="false">D84*12</f>
        <v>1786.61552841228</v>
      </c>
    </row>
    <row r="85" customFormat="false" ht="15" hidden="false" customHeight="true" outlineLevel="0" collapsed="false">
      <c r="A85" s="84" t="n">
        <v>0.3</v>
      </c>
      <c r="B85" s="45" t="n">
        <f aca="false">Consensus!F6*$B$24*A85</f>
        <v>45317.9380168088</v>
      </c>
      <c r="C85" s="45" t="n">
        <f aca="false">Consensus!F15-B85*0.7</f>
        <v>157665.443388234</v>
      </c>
      <c r="D85" s="52" t="n">
        <f aca="false">C85/Assumptions!$B$6</f>
        <v>139.526941051534</v>
      </c>
      <c r="E85" s="96" t="n">
        <f aca="false">D85*6</f>
        <v>837.161646309206</v>
      </c>
      <c r="F85" s="96" t="n">
        <f aca="false">D85*9</f>
        <v>1255.74246946381</v>
      </c>
      <c r="G85" s="96" t="n">
        <f aca="false">D85*12</f>
        <v>1674.32329261841</v>
      </c>
    </row>
    <row r="86" customFormat="false" ht="13.5" hidden="false" customHeight="true" outlineLevel="0" collapsed="false">
      <c r="A86" s="13" t="s">
        <v>802</v>
      </c>
      <c r="B86" s="13"/>
      <c r="C86" s="13"/>
      <c r="D86" s="13"/>
      <c r="E86" s="13"/>
      <c r="F86" s="13"/>
      <c r="G86" s="13"/>
      <c r="H86" s="13"/>
    </row>
    <row r="87" customFormat="false" ht="15.75" hidden="false" customHeight="true" outlineLevel="0" collapsed="false"/>
    <row r="88" customFormat="false" ht="16.5" hidden="false" customHeight="true" outlineLevel="0" collapsed="false">
      <c r="A88" s="24" t="s">
        <v>803</v>
      </c>
      <c r="B88" s="24"/>
      <c r="C88" s="24"/>
      <c r="D88" s="24"/>
      <c r="E88" s="24"/>
      <c r="F88" s="24"/>
      <c r="G88" s="24"/>
      <c r="H88" s="24"/>
    </row>
    <row r="89" customFormat="false" ht="30" hidden="false" customHeight="true" outlineLevel="0" collapsed="false">
      <c r="A89" s="136" t="s">
        <v>804</v>
      </c>
      <c r="B89" s="136"/>
      <c r="C89" s="136"/>
      <c r="D89" s="136"/>
      <c r="E89" s="136"/>
      <c r="F89" s="136"/>
      <c r="G89" s="136"/>
      <c r="H89" s="136"/>
    </row>
    <row r="90" customFormat="false" ht="30" hidden="false" customHeight="true" outlineLevel="0" collapsed="false">
      <c r="A90" s="36" t="s">
        <v>805</v>
      </c>
      <c r="B90" s="36"/>
      <c r="C90" s="36"/>
      <c r="D90" s="36"/>
      <c r="E90" s="36"/>
      <c r="F90" s="36"/>
      <c r="G90" s="36"/>
      <c r="H90" s="36"/>
    </row>
    <row r="91" customFormat="false" ht="30" hidden="false" customHeight="true" outlineLevel="0" collapsed="false">
      <c r="A91" s="36" t="s">
        <v>806</v>
      </c>
      <c r="B91" s="36"/>
      <c r="C91" s="36"/>
      <c r="D91" s="36"/>
      <c r="E91" s="36"/>
      <c r="F91" s="36"/>
      <c r="G91" s="36"/>
      <c r="H91" s="36"/>
    </row>
    <row r="92" customFormat="false" ht="30" hidden="false" customHeight="true" outlineLevel="0" collapsed="false">
      <c r="A92" s="37" t="s">
        <v>807</v>
      </c>
      <c r="B92" s="37"/>
      <c r="C92" s="37"/>
      <c r="D92" s="37"/>
      <c r="E92" s="37"/>
      <c r="F92" s="37"/>
      <c r="G92" s="37"/>
      <c r="H92" s="37"/>
    </row>
    <row r="93" customFormat="false" ht="30" hidden="false" customHeight="true" outlineLevel="0" collapsed="false">
      <c r="A93" s="36" t="s">
        <v>808</v>
      </c>
      <c r="B93" s="36"/>
      <c r="C93" s="36"/>
      <c r="D93" s="36"/>
      <c r="E93" s="36"/>
      <c r="F93" s="36"/>
      <c r="G93" s="36"/>
      <c r="H93" s="36"/>
    </row>
    <row r="94" customFormat="false" ht="30" hidden="false" customHeight="true" outlineLevel="0" collapsed="false">
      <c r="A94" s="36" t="s">
        <v>809</v>
      </c>
      <c r="B94" s="36"/>
      <c r="C94" s="36"/>
      <c r="D94" s="36"/>
      <c r="E94" s="36"/>
      <c r="F94" s="36"/>
      <c r="G94" s="36"/>
      <c r="H94" s="36"/>
    </row>
    <row r="95" customFormat="false" ht="15.75" hidden="false" customHeight="true" outlineLevel="0" collapsed="false"/>
    <row r="96" customFormat="false" ht="13.5" hidden="false" customHeight="true" outlineLevel="0" collapsed="false">
      <c r="A96" s="13" t="s">
        <v>810</v>
      </c>
      <c r="B96" s="13"/>
      <c r="C96" s="13"/>
      <c r="D96" s="13"/>
      <c r="E96" s="13"/>
      <c r="F96" s="13"/>
      <c r="G96" s="13"/>
      <c r="H96" s="13"/>
    </row>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mergeCells count="67">
    <mergeCell ref="A1:H1"/>
    <mergeCell ref="A2:H2"/>
    <mergeCell ref="A4:H4"/>
    <mergeCell ref="B5:H5"/>
    <mergeCell ref="B6:H6"/>
    <mergeCell ref="B7:H7"/>
    <mergeCell ref="B8:H8"/>
    <mergeCell ref="B9:H9"/>
    <mergeCell ref="B10:H10"/>
    <mergeCell ref="A12:H12"/>
    <mergeCell ref="F13:H13"/>
    <mergeCell ref="F14:H14"/>
    <mergeCell ref="F15:H15"/>
    <mergeCell ref="F16:H16"/>
    <mergeCell ref="F17:H17"/>
    <mergeCell ref="A19:H19"/>
    <mergeCell ref="A20:H20"/>
    <mergeCell ref="A22:H22"/>
    <mergeCell ref="E23:H23"/>
    <mergeCell ref="E24:H24"/>
    <mergeCell ref="E25:H25"/>
    <mergeCell ref="E26:H26"/>
    <mergeCell ref="A27:H27"/>
    <mergeCell ref="A29:H29"/>
    <mergeCell ref="A30:H30"/>
    <mergeCell ref="A38:H38"/>
    <mergeCell ref="A40:H40"/>
    <mergeCell ref="A41:H41"/>
    <mergeCell ref="F42:H42"/>
    <mergeCell ref="F43:H43"/>
    <mergeCell ref="F44:H44"/>
    <mergeCell ref="F45:H45"/>
    <mergeCell ref="F46:H46"/>
    <mergeCell ref="A48:H48"/>
    <mergeCell ref="A49:H49"/>
    <mergeCell ref="A51:H51"/>
    <mergeCell ref="B52:H52"/>
    <mergeCell ref="B53:H53"/>
    <mergeCell ref="B54:H54"/>
    <mergeCell ref="B55:H55"/>
    <mergeCell ref="B56:H56"/>
    <mergeCell ref="B57:H57"/>
    <mergeCell ref="A59:H59"/>
    <mergeCell ref="A62:H62"/>
    <mergeCell ref="B63:H63"/>
    <mergeCell ref="B64:H64"/>
    <mergeCell ref="B65:H65"/>
    <mergeCell ref="B66:H66"/>
    <mergeCell ref="B67:H67"/>
    <mergeCell ref="B68:H68"/>
    <mergeCell ref="A70:H70"/>
    <mergeCell ref="D71:H71"/>
    <mergeCell ref="D72:H72"/>
    <mergeCell ref="D73:H73"/>
    <mergeCell ref="A74:H74"/>
    <mergeCell ref="A75:H75"/>
    <mergeCell ref="A77:H77"/>
    <mergeCell ref="A78:H78"/>
    <mergeCell ref="A86:H86"/>
    <mergeCell ref="A88:H88"/>
    <mergeCell ref="A89:H89"/>
    <mergeCell ref="A90:H90"/>
    <mergeCell ref="A91:H91"/>
    <mergeCell ref="A92:H92"/>
    <mergeCell ref="A93:H93"/>
    <mergeCell ref="A94:H94"/>
    <mergeCell ref="A96:H9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B3" activeCellId="0" sqref="B3"/>
    </sheetView>
  </sheetViews>
  <sheetFormatPr defaultColWidth="12.62890625" defaultRowHeight="15" customHeight="true" zeroHeight="false" outlineLevelRow="0" outlineLevelCol="0"/>
  <cols>
    <col collapsed="false" customWidth="true" hidden="false" outlineLevel="0" max="1" min="1" style="1" width="32"/>
    <col collapsed="false" customWidth="true" hidden="false" outlineLevel="0" max="2" min="2" style="1" width="16"/>
    <col collapsed="false" customWidth="true" hidden="false" outlineLevel="0" max="9" min="3" style="1" width="15"/>
    <col collapsed="false" customWidth="true" hidden="false" outlineLevel="0" max="26" min="10" style="1" width="8.5"/>
  </cols>
  <sheetData>
    <row r="1" customFormat="false" ht="24" hidden="false" customHeight="true" outlineLevel="0" collapsed="false">
      <c r="A1" s="23" t="s">
        <v>811</v>
      </c>
      <c r="B1" s="23"/>
      <c r="C1" s="23"/>
      <c r="D1" s="23"/>
      <c r="E1" s="23"/>
      <c r="F1" s="23"/>
      <c r="G1" s="23"/>
      <c r="H1" s="23"/>
    </row>
    <row r="3" customFormat="false" ht="16.5" hidden="false" customHeight="true" outlineLevel="0" collapsed="false">
      <c r="A3" s="24" t="s">
        <v>812</v>
      </c>
      <c r="B3" s="24"/>
      <c r="C3" s="24"/>
      <c r="D3" s="24"/>
      <c r="E3" s="24"/>
      <c r="F3" s="24"/>
      <c r="G3" s="24"/>
      <c r="H3" s="24"/>
    </row>
    <row r="4" customFormat="false" ht="25.5" hidden="false" customHeight="true" outlineLevel="0" collapsed="false">
      <c r="A4" s="66" t="s">
        <v>813</v>
      </c>
      <c r="B4" s="27" t="s">
        <v>814</v>
      </c>
      <c r="C4" s="27"/>
      <c r="D4" s="27"/>
      <c r="E4" s="27"/>
      <c r="F4" s="27"/>
      <c r="G4" s="27"/>
      <c r="H4" s="27"/>
    </row>
    <row r="5" customFormat="false" ht="25.5" hidden="false" customHeight="true" outlineLevel="0" collapsed="false">
      <c r="A5" s="63" t="s">
        <v>815</v>
      </c>
      <c r="B5" s="33" t="s">
        <v>816</v>
      </c>
      <c r="C5" s="33"/>
      <c r="D5" s="33"/>
      <c r="E5" s="33"/>
      <c r="F5" s="33"/>
      <c r="G5" s="33"/>
      <c r="H5" s="33"/>
    </row>
    <row r="6" customFormat="false" ht="25.5" hidden="false" customHeight="true" outlineLevel="0" collapsed="false">
      <c r="A6" s="63" t="s">
        <v>817</v>
      </c>
      <c r="B6" s="33" t="s">
        <v>818</v>
      </c>
      <c r="C6" s="33"/>
      <c r="D6" s="33"/>
      <c r="E6" s="33"/>
      <c r="F6" s="33"/>
      <c r="G6" s="33"/>
      <c r="H6" s="33"/>
    </row>
    <row r="7" customFormat="false" ht="25.5" hidden="false" customHeight="true" outlineLevel="0" collapsed="false">
      <c r="A7" s="63" t="s">
        <v>819</v>
      </c>
      <c r="B7" s="27" t="s">
        <v>820</v>
      </c>
      <c r="C7" s="27"/>
      <c r="D7" s="27"/>
      <c r="E7" s="27"/>
      <c r="F7" s="27"/>
      <c r="G7" s="27"/>
      <c r="H7" s="27"/>
    </row>
    <row r="8" customFormat="false" ht="25.5" hidden="false" customHeight="true" outlineLevel="0" collapsed="false">
      <c r="A8" s="63" t="s">
        <v>821</v>
      </c>
      <c r="B8" s="27" t="s">
        <v>822</v>
      </c>
      <c r="C8" s="27"/>
      <c r="D8" s="27"/>
      <c r="E8" s="27"/>
      <c r="F8" s="27"/>
      <c r="G8" s="27"/>
      <c r="H8" s="27"/>
    </row>
    <row r="9" customFormat="false" ht="25.5" hidden="false" customHeight="true" outlineLevel="0" collapsed="false">
      <c r="A9" s="63" t="s">
        <v>823</v>
      </c>
      <c r="B9" s="33" t="s">
        <v>824</v>
      </c>
      <c r="C9" s="33"/>
      <c r="D9" s="33"/>
      <c r="E9" s="33"/>
      <c r="F9" s="33"/>
      <c r="G9" s="33"/>
      <c r="H9" s="33"/>
    </row>
    <row r="10" customFormat="false" ht="25.5" hidden="false" customHeight="true" outlineLevel="0" collapsed="false">
      <c r="A10" s="63" t="s">
        <v>825</v>
      </c>
      <c r="B10" s="27" t="s">
        <v>826</v>
      </c>
      <c r="C10" s="27"/>
      <c r="D10" s="27"/>
      <c r="E10" s="27"/>
      <c r="F10" s="27"/>
      <c r="G10" s="27"/>
      <c r="H10" s="27"/>
    </row>
    <row r="12" customFormat="false" ht="16.5" hidden="false" customHeight="true" outlineLevel="0" collapsed="false">
      <c r="A12" s="24" t="s">
        <v>827</v>
      </c>
      <c r="B12" s="24"/>
      <c r="C12" s="24"/>
      <c r="D12" s="24"/>
      <c r="E12" s="24"/>
      <c r="F12" s="24"/>
      <c r="G12" s="24"/>
      <c r="H12" s="24"/>
    </row>
    <row r="13" customFormat="false" ht="15" hidden="false" customHeight="true" outlineLevel="0" collapsed="false">
      <c r="A13" s="61" t="s">
        <v>828</v>
      </c>
      <c r="B13" s="61" t="s">
        <v>829</v>
      </c>
      <c r="C13" s="61" t="s">
        <v>830</v>
      </c>
      <c r="D13" s="61" t="s">
        <v>831</v>
      </c>
      <c r="E13" s="61" t="s">
        <v>451</v>
      </c>
      <c r="F13" s="61"/>
      <c r="G13" s="61"/>
      <c r="H13" s="61"/>
    </row>
    <row r="14" customFormat="false" ht="30" hidden="false" customHeight="true" outlineLevel="0" collapsed="false">
      <c r="A14" s="132" t="s">
        <v>832</v>
      </c>
      <c r="B14" s="27" t="s">
        <v>833</v>
      </c>
      <c r="C14" s="42" t="n">
        <v>380000</v>
      </c>
      <c r="D14" s="49" t="n">
        <f aca="false">C14/(Assumptions!$B$5*Assumptions!$B$6)</f>
        <v>0.373647984267453</v>
      </c>
      <c r="E14" s="123" t="s">
        <v>615</v>
      </c>
      <c r="F14" s="123"/>
      <c r="G14" s="123"/>
      <c r="H14" s="123"/>
    </row>
    <row r="15" customFormat="false" ht="30" hidden="false" customHeight="true" outlineLevel="0" collapsed="false">
      <c r="A15" s="135" t="s">
        <v>592</v>
      </c>
      <c r="B15" s="27" t="s">
        <v>834</v>
      </c>
      <c r="C15" s="42" t="n">
        <v>31700</v>
      </c>
      <c r="D15" s="49" t="n">
        <f aca="false">C15/(Assumptions!$B$5*Assumptions!$B$6)</f>
        <v>0.0311701081612586</v>
      </c>
      <c r="E15" s="123" t="s">
        <v>626</v>
      </c>
      <c r="F15" s="123"/>
      <c r="G15" s="123"/>
      <c r="H15" s="123"/>
    </row>
    <row r="16" customFormat="false" ht="30" hidden="false" customHeight="true" outlineLevel="0" collapsed="false">
      <c r="A16" s="95" t="s">
        <v>835</v>
      </c>
      <c r="B16" s="27" t="s">
        <v>836</v>
      </c>
      <c r="C16" s="87" t="n">
        <f aca="false">Consensus!F31*-1</f>
        <v>265525</v>
      </c>
      <c r="D16" s="49" t="n">
        <f aca="false">C16/(Assumptions!$B$5*Assumptions!$B$6)</f>
        <v>0.261086529006883</v>
      </c>
      <c r="E16" s="123" t="s">
        <v>623</v>
      </c>
      <c r="F16" s="123"/>
      <c r="G16" s="123"/>
      <c r="H16" s="123"/>
    </row>
    <row r="17" customFormat="false" ht="16.5" hidden="false" customHeight="true" outlineLevel="0" collapsed="false">
      <c r="A17" s="77" t="s">
        <v>837</v>
      </c>
      <c r="B17" s="77"/>
      <c r="C17" s="77"/>
      <c r="D17" s="77"/>
      <c r="E17" s="77"/>
      <c r="F17" s="77"/>
      <c r="G17" s="77"/>
      <c r="H17" s="77"/>
    </row>
    <row r="19" customFormat="false" ht="16.5" hidden="false" customHeight="true" outlineLevel="0" collapsed="false">
      <c r="A19" s="24" t="s">
        <v>838</v>
      </c>
      <c r="B19" s="24"/>
      <c r="C19" s="24"/>
      <c r="D19" s="24"/>
      <c r="E19" s="24"/>
      <c r="F19" s="24"/>
      <c r="G19" s="24"/>
      <c r="H19" s="24"/>
    </row>
    <row r="20" customFormat="false" ht="15" hidden="false" customHeight="true" outlineLevel="0" collapsed="false">
      <c r="A20" s="63" t="s">
        <v>839</v>
      </c>
      <c r="B20" s="54" t="n">
        <v>265525</v>
      </c>
      <c r="C20" s="41" t="s">
        <v>840</v>
      </c>
      <c r="D20" s="41"/>
      <c r="E20" s="41"/>
      <c r="F20" s="41"/>
      <c r="G20" s="41"/>
      <c r="H20" s="41"/>
    </row>
    <row r="21" customFormat="false" ht="15" hidden="false" customHeight="true" outlineLevel="0" collapsed="false">
      <c r="A21" s="63" t="s">
        <v>841</v>
      </c>
      <c r="B21" s="51" t="n">
        <v>900</v>
      </c>
      <c r="C21" s="41" t="s">
        <v>842</v>
      </c>
      <c r="D21" s="41"/>
      <c r="E21" s="41"/>
      <c r="F21" s="41"/>
      <c r="G21" s="41"/>
      <c r="H21" s="41"/>
    </row>
    <row r="22" customFormat="false" ht="15" hidden="false" customHeight="true" outlineLevel="0" collapsed="false">
      <c r="A22" s="63" t="s">
        <v>843</v>
      </c>
      <c r="B22" s="88" t="n">
        <f aca="false">B20/B21</f>
        <v>295.027777777778</v>
      </c>
      <c r="C22" s="41" t="s">
        <v>844</v>
      </c>
      <c r="D22" s="41"/>
      <c r="E22" s="41"/>
      <c r="F22" s="41"/>
      <c r="G22" s="41"/>
      <c r="H22" s="41"/>
    </row>
    <row r="23" customFormat="false" ht="15" hidden="false" customHeight="true" outlineLevel="0" collapsed="false">
      <c r="A23" s="63" t="s">
        <v>845</v>
      </c>
      <c r="B23" s="82" t="n">
        <f aca="false">B22/Assumptions!B6</f>
        <v>0.261086529006883</v>
      </c>
      <c r="C23" s="41" t="s">
        <v>846</v>
      </c>
      <c r="D23" s="41"/>
      <c r="E23" s="41"/>
      <c r="F23" s="41"/>
      <c r="G23" s="41"/>
      <c r="H23" s="41"/>
    </row>
    <row r="24" customFormat="false" ht="15" hidden="false" customHeight="true" outlineLevel="0" collapsed="false">
      <c r="A24" s="63" t="s">
        <v>847</v>
      </c>
      <c r="B24" s="88" t="n">
        <f aca="false">Assumptions!B6-B22</f>
        <v>834.972222222222</v>
      </c>
      <c r="C24" s="41"/>
      <c r="D24" s="41"/>
      <c r="E24" s="41"/>
      <c r="F24" s="41"/>
      <c r="G24" s="41"/>
      <c r="H24" s="41"/>
    </row>
    <row r="25" customFormat="false" ht="15.75" hidden="false" customHeight="true" outlineLevel="0" collapsed="false"/>
    <row r="26" customFormat="false" ht="16.5" hidden="false" customHeight="true" outlineLevel="0" collapsed="false">
      <c r="A26" s="24" t="s">
        <v>848</v>
      </c>
      <c r="B26" s="24"/>
      <c r="C26" s="24"/>
      <c r="D26" s="24"/>
      <c r="E26" s="24"/>
      <c r="F26" s="24"/>
      <c r="G26" s="24"/>
      <c r="H26" s="24"/>
    </row>
    <row r="27" customFormat="false" ht="15" hidden="false" customHeight="true" outlineLevel="0" collapsed="false">
      <c r="A27" s="61" t="s">
        <v>182</v>
      </c>
      <c r="B27" s="61" t="s">
        <v>849</v>
      </c>
      <c r="C27" s="61" t="s">
        <v>850</v>
      </c>
      <c r="D27" s="61" t="s">
        <v>851</v>
      </c>
      <c r="E27" s="61" t="s">
        <v>349</v>
      </c>
      <c r="F27" s="61"/>
      <c r="G27" s="61"/>
      <c r="H27" s="61"/>
    </row>
    <row r="28" customFormat="false" ht="15" hidden="false" customHeight="true" outlineLevel="0" collapsed="false">
      <c r="A28" s="63" t="s">
        <v>370</v>
      </c>
      <c r="B28" s="45" t="n">
        <f aca="false">Assumptions!B6</f>
        <v>1130</v>
      </c>
      <c r="C28" s="88" t="n">
        <f aca="false">B24</f>
        <v>834.972222222222</v>
      </c>
      <c r="D28" s="49" t="n">
        <f aca="false">IFERROR(C28/B28-1,"n/a")</f>
        <v>-0.261086529006883</v>
      </c>
      <c r="E28" s="41"/>
      <c r="F28" s="41"/>
      <c r="G28" s="41"/>
      <c r="H28" s="41"/>
    </row>
    <row r="29" customFormat="false" ht="15" hidden="false" customHeight="true" outlineLevel="0" collapsed="false">
      <c r="A29" s="63" t="s">
        <v>852</v>
      </c>
      <c r="B29" s="45" t="n">
        <f aca="false">Consensus!F15</f>
        <v>189388</v>
      </c>
      <c r="C29" s="88" t="n">
        <f aca="false">B29</f>
        <v>189388</v>
      </c>
      <c r="D29" s="49" t="n">
        <f aca="false">IFERROR(C29/B29-1,"n/a")</f>
        <v>0</v>
      </c>
      <c r="E29" s="41" t="s">
        <v>853</v>
      </c>
      <c r="F29" s="41"/>
      <c r="G29" s="41"/>
      <c r="H29" s="41"/>
    </row>
    <row r="30" customFormat="false" ht="15" hidden="false" customHeight="true" outlineLevel="0" collapsed="false">
      <c r="A30" s="63" t="s">
        <v>854</v>
      </c>
      <c r="B30" s="45" t="n">
        <f aca="false">Consensus!F24*Assumptions!B6</f>
        <v>494872.2</v>
      </c>
      <c r="C30" s="88" t="n">
        <f aca="false">B30-B20</f>
        <v>229347.2</v>
      </c>
      <c r="D30" s="49" t="n">
        <f aca="false">IFERROR(C30/B30-1,"n/a")</f>
        <v>-0.536552669557918</v>
      </c>
      <c r="E30" s="41" t="s">
        <v>855</v>
      </c>
      <c r="F30" s="41"/>
      <c r="G30" s="41"/>
      <c r="H30" s="41"/>
    </row>
    <row r="31" customFormat="false" ht="15" hidden="false" customHeight="true" outlineLevel="0" collapsed="false">
      <c r="A31" s="66" t="s">
        <v>306</v>
      </c>
      <c r="B31" s="52" t="n">
        <f aca="false">B29/B28</f>
        <v>167.6</v>
      </c>
      <c r="C31" s="81" t="n">
        <f aca="false">C29/C28</f>
        <v>226.819521607505</v>
      </c>
      <c r="D31" s="49" t="n">
        <f aca="false">IFERROR(C31/B31-1,"n/a")</f>
        <v>0.353338434412323</v>
      </c>
      <c r="E31" s="41" t="s">
        <v>856</v>
      </c>
      <c r="F31" s="41"/>
      <c r="G31" s="41"/>
      <c r="H31" s="41"/>
    </row>
    <row r="32" customFormat="false" ht="15" hidden="false" customHeight="true" outlineLevel="0" collapsed="false">
      <c r="A32" s="66" t="s">
        <v>857</v>
      </c>
      <c r="B32" s="52" t="n">
        <f aca="false">B30/B28</f>
        <v>437.94</v>
      </c>
      <c r="C32" s="81" t="n">
        <f aca="false">C30/C28</f>
        <v>274.676442995442</v>
      </c>
      <c r="D32" s="49" t="n">
        <f aca="false">IFERROR(C32/B32-1,"n/a")</f>
        <v>-0.372798915386943</v>
      </c>
      <c r="E32" s="41" t="s">
        <v>858</v>
      </c>
      <c r="F32" s="41"/>
      <c r="G32" s="41"/>
      <c r="H32" s="41"/>
    </row>
    <row r="33" customFormat="false" ht="15" hidden="false" customHeight="true" outlineLevel="0" collapsed="false">
      <c r="A33" s="66" t="s">
        <v>309</v>
      </c>
      <c r="B33" s="46" t="n">
        <f aca="false">Assumptions!B5/B31</f>
        <v>5.36992840095465</v>
      </c>
      <c r="C33" s="80" t="n">
        <f aca="false">Assumptions!B5/C31</f>
        <v>3.96791243373392</v>
      </c>
      <c r="D33" s="49" t="n">
        <f aca="false">IFERROR(C33/B33-1,"n/a")</f>
        <v>-0.261086529006883</v>
      </c>
      <c r="E33" s="41" t="s">
        <v>859</v>
      </c>
      <c r="F33" s="41"/>
      <c r="G33" s="41"/>
      <c r="H33" s="41"/>
    </row>
    <row r="34" customFormat="false" ht="15" hidden="false" customHeight="true" outlineLevel="0" collapsed="false">
      <c r="A34" s="66" t="s">
        <v>262</v>
      </c>
      <c r="B34" s="46" t="n">
        <f aca="false">Assumptions!B5/B32</f>
        <v>2.0550760378134</v>
      </c>
      <c r="C34" s="80" t="n">
        <f aca="false">Assumptions!B5/C32</f>
        <v>3.27658240431974</v>
      </c>
      <c r="D34" s="49" t="n">
        <f aca="false">IFERROR(C34/B34-1,"n/a")</f>
        <v>0.594384997941985</v>
      </c>
      <c r="E34" s="41" t="s">
        <v>860</v>
      </c>
      <c r="F34" s="41"/>
      <c r="G34" s="41"/>
      <c r="H34" s="41"/>
    </row>
    <row r="35" customFormat="false" ht="15.75" hidden="false" customHeight="true" outlineLevel="0" collapsed="false"/>
    <row r="36" customFormat="false" ht="16.5" hidden="false" customHeight="true" outlineLevel="0" collapsed="false">
      <c r="A36" s="14" t="s">
        <v>861</v>
      </c>
      <c r="B36" s="14"/>
      <c r="C36" s="14"/>
      <c r="D36" s="14"/>
      <c r="E36" s="14"/>
      <c r="F36" s="14"/>
      <c r="G36" s="14"/>
      <c r="H36" s="14"/>
    </row>
    <row r="37" customFormat="false" ht="16.5" hidden="false" customHeight="true" outlineLevel="0" collapsed="false">
      <c r="A37" s="14" t="s">
        <v>862</v>
      </c>
      <c r="B37" s="14"/>
      <c r="C37" s="14"/>
      <c r="D37" s="14"/>
      <c r="E37" s="14"/>
      <c r="F37" s="14"/>
      <c r="G37" s="14"/>
      <c r="H37" s="14"/>
    </row>
    <row r="38" customFormat="false" ht="13.5" hidden="false" customHeight="true" outlineLevel="0" collapsed="false">
      <c r="A38" s="13" t="s">
        <v>863</v>
      </c>
      <c r="B38" s="13"/>
      <c r="C38" s="13"/>
      <c r="D38" s="13"/>
      <c r="E38" s="13"/>
      <c r="F38" s="13"/>
      <c r="G38" s="13"/>
      <c r="H38" s="13"/>
    </row>
    <row r="39" customFormat="false" ht="15.75" hidden="false" customHeight="true" outlineLevel="0" collapsed="false"/>
    <row r="40" customFormat="false" ht="16.5" hidden="false" customHeight="true" outlineLevel="0" collapsed="false">
      <c r="A40" s="24" t="s">
        <v>864</v>
      </c>
      <c r="B40" s="24"/>
      <c r="C40" s="24"/>
      <c r="D40" s="24"/>
      <c r="E40" s="24"/>
      <c r="F40" s="24"/>
      <c r="G40" s="24"/>
      <c r="H40" s="24"/>
    </row>
    <row r="41" customFormat="false" ht="15" hidden="false" customHeight="true" outlineLevel="0" collapsed="false">
      <c r="A41" s="38" t="s">
        <v>865</v>
      </c>
      <c r="B41" s="137" t="n">
        <v>600</v>
      </c>
      <c r="C41" s="137" t="n">
        <v>700</v>
      </c>
      <c r="D41" s="137" t="n">
        <v>800</v>
      </c>
      <c r="E41" s="137" t="n">
        <v>900</v>
      </c>
      <c r="F41" s="137" t="n">
        <v>1000</v>
      </c>
      <c r="G41" s="137" t="n">
        <v>1200</v>
      </c>
    </row>
    <row r="42" customFormat="false" ht="15" hidden="false" customHeight="true" outlineLevel="0" collapsed="false">
      <c r="A42" s="138" t="n">
        <v>31700</v>
      </c>
      <c r="B42" s="52" t="n">
        <f aca="false">Consensus!$F$15/(Assumptions!$B$6-$A42/B$41)</f>
        <v>175.820516787869</v>
      </c>
      <c r="C42" s="52" t="n">
        <f aca="false">Consensus!$F$15/(Assumptions!$B$6-$A42/C$41)</f>
        <v>174.597128934545</v>
      </c>
      <c r="D42" s="52" t="n">
        <f aca="false">Consensus!$F$15/(Assumptions!$B$6-$A42/D$41)</f>
        <v>173.690702739883</v>
      </c>
      <c r="E42" s="52" t="n">
        <f aca="false">Consensus!$F$15/(Assumptions!$B$6-$A42/E$41)</f>
        <v>172.992185121283</v>
      </c>
      <c r="F42" s="52" t="n">
        <f aca="false">Consensus!$F$15/(Assumptions!$B$6-$A42/F$41)</f>
        <v>172.437403259583</v>
      </c>
      <c r="G42" s="52" t="n">
        <f aca="false">Consensus!$F$15/(Assumptions!$B$6-$A42/G$41)</f>
        <v>171.61187042211</v>
      </c>
    </row>
    <row r="43" customFormat="false" ht="15" hidden="false" customHeight="true" outlineLevel="0" collapsed="false">
      <c r="A43" s="138" t="n">
        <v>100000</v>
      </c>
      <c r="B43" s="52" t="n">
        <f aca="false">Consensus!$F$15/(Assumptions!$B$6-$A43/B$41)</f>
        <v>196.596539792388</v>
      </c>
      <c r="C43" s="52" t="n">
        <f aca="false">Consensus!$F$15/(Assumptions!$B$6-$A43/C$41)</f>
        <v>191.854703328509</v>
      </c>
      <c r="D43" s="52" t="n">
        <f aca="false">Consensus!$F$15/(Assumptions!$B$6-$A43/D$41)</f>
        <v>188.445771144279</v>
      </c>
      <c r="E43" s="52" t="n">
        <f aca="false">Consensus!$F$15/(Assumptions!$B$6-$A43/E$41)</f>
        <v>185.876990185387</v>
      </c>
      <c r="F43" s="52" t="n">
        <f aca="false">Consensus!$F$15/(Assumptions!$B$6-$A43/F$41)</f>
        <v>183.871844660194</v>
      </c>
      <c r="G43" s="52" t="n">
        <f aca="false">Consensus!$F$15/(Assumptions!$B$6-$A43/G$41)</f>
        <v>180.943949044586</v>
      </c>
    </row>
    <row r="44" customFormat="false" ht="15" hidden="false" customHeight="true" outlineLevel="0" collapsed="false">
      <c r="A44" s="138" t="n">
        <v>150000</v>
      </c>
      <c r="B44" s="52" t="n">
        <f aca="false">Consensus!$F$15/(Assumptions!$B$6-$A44/B$41)</f>
        <v>215.213636363636</v>
      </c>
      <c r="C44" s="52" t="n">
        <f aca="false">Consensus!$F$15/(Assumptions!$B$6-$A44/C$41)</f>
        <v>206.819968798752</v>
      </c>
      <c r="D44" s="52" t="n">
        <f aca="false">Consensus!$F$15/(Assumptions!$B$6-$A44/D$41)</f>
        <v>200.942175066313</v>
      </c>
      <c r="E44" s="52" t="n">
        <f aca="false">Consensus!$F$15/(Assumptions!$B$6-$A44/E$41)</f>
        <v>196.596539792388</v>
      </c>
      <c r="F44" s="52" t="n">
        <f aca="false">Consensus!$F$15/(Assumptions!$B$6-$A44/F$41)</f>
        <v>193.25306122449</v>
      </c>
      <c r="G44" s="52" t="n">
        <f aca="false">Consensus!$F$15/(Assumptions!$B$6-$A44/G$41)</f>
        <v>188.445771144279</v>
      </c>
    </row>
    <row r="45" customFormat="false" ht="15" hidden="false" customHeight="true" outlineLevel="0" collapsed="false">
      <c r="A45" s="138" t="n">
        <v>200000</v>
      </c>
      <c r="B45" s="52" t="n">
        <f aca="false">Consensus!$F$15/(Assumptions!$B$6-$A45/B$41)</f>
        <v>237.725523012552</v>
      </c>
      <c r="C45" s="52" t="n">
        <f aca="false">Consensus!$F$15/(Assumptions!$B$6-$A45/C$41)</f>
        <v>224.317428087986</v>
      </c>
      <c r="D45" s="52" t="n">
        <f aca="false">Consensus!$F$15/(Assumptions!$B$6-$A45/D$41)</f>
        <v>215.213636363636</v>
      </c>
      <c r="E45" s="52" t="n">
        <f aca="false">Consensus!$F$15/(Assumptions!$B$6-$A45/E$41)</f>
        <v>208.628151774786</v>
      </c>
      <c r="F45" s="52" t="n">
        <f aca="false">Consensus!$F$15/(Assumptions!$B$6-$A45/F$41)</f>
        <v>203.643010752688</v>
      </c>
      <c r="G45" s="52" t="n">
        <f aca="false">Consensus!$F$15/(Assumptions!$B$6-$A45/G$41)</f>
        <v>196.596539792388</v>
      </c>
    </row>
    <row r="46" customFormat="false" ht="15" hidden="false" customHeight="true" outlineLevel="0" collapsed="false">
      <c r="A46" s="138" t="n">
        <v>265525</v>
      </c>
      <c r="B46" s="52" t="n">
        <f aca="false">Consensus!$F$15/(Assumptions!$B$6-$A46/B$41)</f>
        <v>275.490150918238</v>
      </c>
      <c r="C46" s="52" t="n">
        <f aca="false">Consensus!$F$15/(Assumptions!$B$6-$A46/C$41)</f>
        <v>252.289071792188</v>
      </c>
      <c r="D46" s="52" t="n">
        <f aca="false">Consensus!$F$15/(Assumptions!$B$6-$A46/D$41)</f>
        <v>237.300442460551</v>
      </c>
      <c r="E46" s="52" t="n">
        <f aca="false">Consensus!$F$15/(Assumptions!$B$6-$A46/E$41)</f>
        <v>226.819521607505</v>
      </c>
      <c r="F46" s="52" t="n">
        <f aca="false">Consensus!$F$15/(Assumptions!$B$6-$A46/F$41)</f>
        <v>219.078631539374</v>
      </c>
      <c r="G46" s="52" t="n">
        <f aca="false">Consensus!$F$15/(Assumptions!$B$6-$A46/G$41)</f>
        <v>208.409729704945</v>
      </c>
    </row>
    <row r="47" customFormat="false" ht="15" hidden="false" customHeight="true" outlineLevel="0" collapsed="false">
      <c r="A47" s="138" t="n">
        <v>380000</v>
      </c>
      <c r="B47" s="52" t="n">
        <f aca="false">Consensus!$F$15/(Assumptions!$B$6-$A47/B$41)</f>
        <v>381.318120805369</v>
      </c>
      <c r="C47" s="52" t="n">
        <f aca="false">Consensus!$F$15/(Assumptions!$B$6-$A47/C$41)</f>
        <v>322.558637469586</v>
      </c>
      <c r="D47" s="52" t="n">
        <f aca="false">Consensus!$F$15/(Assumptions!$B$6-$A47/D$41)</f>
        <v>289.141984732824</v>
      </c>
      <c r="E47" s="52" t="n">
        <f aca="false">Consensus!$F$15/(Assumptions!$B$6-$A47/E$41)</f>
        <v>267.581161695447</v>
      </c>
      <c r="F47" s="52" t="n">
        <f aca="false">Consensus!$F$15/(Assumptions!$B$6-$A47/F$41)</f>
        <v>252.517333333333</v>
      </c>
      <c r="G47" s="52" t="n">
        <f aca="false">Consensus!$F$15/(Assumptions!$B$6-$A47/G$41)</f>
        <v>232.854098360656</v>
      </c>
    </row>
    <row r="48" customFormat="false" ht="13.5" hidden="false" customHeight="true" outlineLevel="0" collapsed="false">
      <c r="A48" s="13" t="s">
        <v>866</v>
      </c>
      <c r="B48" s="13"/>
      <c r="C48" s="13"/>
      <c r="D48" s="13"/>
      <c r="E48" s="13"/>
      <c r="F48" s="13"/>
      <c r="G48" s="13"/>
      <c r="H48" s="13"/>
    </row>
    <row r="49" customFormat="false" ht="13.5" hidden="false" customHeight="true" outlineLevel="0" collapsed="false">
      <c r="A49" s="13" t="s">
        <v>867</v>
      </c>
      <c r="B49" s="13"/>
      <c r="C49" s="13"/>
      <c r="D49" s="13"/>
      <c r="E49" s="13"/>
      <c r="F49" s="13"/>
      <c r="G49" s="13"/>
      <c r="H49" s="13"/>
    </row>
    <row r="50" customFormat="false" ht="15.75" hidden="false" customHeight="true" outlineLevel="0" collapsed="false"/>
    <row r="51" customFormat="false" ht="16.5" hidden="false" customHeight="true" outlineLevel="0" collapsed="false">
      <c r="A51" s="24" t="s">
        <v>868</v>
      </c>
      <c r="B51" s="24"/>
      <c r="C51" s="24"/>
      <c r="D51" s="24"/>
      <c r="E51" s="24"/>
      <c r="F51" s="24"/>
      <c r="G51" s="24"/>
      <c r="H51" s="24"/>
    </row>
    <row r="52" customFormat="false" ht="25.5" hidden="false" customHeight="true" outlineLevel="0" collapsed="false">
      <c r="A52" s="35" t="s">
        <v>869</v>
      </c>
      <c r="B52" s="35"/>
      <c r="C52" s="35"/>
      <c r="D52" s="35"/>
      <c r="E52" s="35"/>
      <c r="F52" s="35"/>
      <c r="G52" s="35"/>
      <c r="H52" s="35"/>
    </row>
    <row r="53" customFormat="false" ht="25.5" hidden="false" customHeight="true" outlineLevel="0" collapsed="false">
      <c r="A53" s="35" t="s">
        <v>870</v>
      </c>
      <c r="B53" s="35"/>
      <c r="C53" s="35"/>
      <c r="D53" s="35"/>
      <c r="E53" s="35"/>
      <c r="F53" s="35"/>
      <c r="G53" s="35"/>
      <c r="H53" s="35"/>
    </row>
    <row r="54" customFormat="false" ht="25.5" hidden="false" customHeight="true" outlineLevel="0" collapsed="false">
      <c r="A54" s="35" t="s">
        <v>871</v>
      </c>
      <c r="B54" s="35"/>
      <c r="C54" s="35"/>
      <c r="D54" s="35"/>
      <c r="E54" s="35"/>
      <c r="F54" s="35"/>
      <c r="G54" s="35"/>
      <c r="H54" s="35"/>
    </row>
    <row r="55" customFormat="false" ht="25.5" hidden="false" customHeight="true" outlineLevel="0" collapsed="false">
      <c r="A55" s="36" t="s">
        <v>872</v>
      </c>
      <c r="B55" s="36"/>
      <c r="C55" s="36"/>
      <c r="D55" s="36"/>
      <c r="E55" s="36"/>
      <c r="F55" s="36"/>
      <c r="G55" s="36"/>
      <c r="H55" s="36"/>
    </row>
    <row r="56" customFormat="false" ht="25.5" hidden="false" customHeight="true" outlineLevel="0" collapsed="false">
      <c r="A56" s="36" t="s">
        <v>873</v>
      </c>
      <c r="B56" s="36"/>
      <c r="C56" s="36"/>
      <c r="D56" s="36"/>
      <c r="E56" s="36"/>
      <c r="F56" s="36"/>
      <c r="G56" s="36"/>
      <c r="H56" s="36"/>
    </row>
    <row r="57" customFormat="false" ht="15.75" hidden="false" customHeight="true" outlineLevel="0" collapsed="false"/>
    <row r="58" customFormat="false" ht="13.5" hidden="false" customHeight="true" outlineLevel="0" collapsed="false">
      <c r="A58" s="13" t="s">
        <v>874</v>
      </c>
      <c r="B58" s="13"/>
      <c r="C58" s="13"/>
      <c r="D58" s="13"/>
      <c r="E58" s="13"/>
      <c r="F58" s="13"/>
      <c r="G58" s="13"/>
      <c r="H58" s="13"/>
    </row>
    <row r="59" customFormat="false" ht="15.75" hidden="false" customHeight="true" outlineLevel="0" collapsed="false"/>
    <row r="60" customFormat="false" ht="16.5" hidden="false" customHeight="true" outlineLevel="0" collapsed="false">
      <c r="A60" s="24" t="s">
        <v>875</v>
      </c>
      <c r="B60" s="24"/>
      <c r="C60" s="24"/>
      <c r="D60" s="24"/>
      <c r="E60" s="24"/>
      <c r="F60" s="24"/>
      <c r="G60" s="24"/>
      <c r="H60" s="24"/>
      <c r="I60" s="24"/>
    </row>
    <row r="61" customFormat="false" ht="15" hidden="false" customHeight="true" outlineLevel="0" collapsed="false">
      <c r="A61" s="13" t="s">
        <v>876</v>
      </c>
      <c r="B61" s="13"/>
      <c r="C61" s="13"/>
      <c r="D61" s="13"/>
      <c r="E61" s="13"/>
      <c r="F61" s="13"/>
      <c r="G61" s="13"/>
      <c r="H61" s="13"/>
      <c r="I61" s="13"/>
    </row>
    <row r="62" customFormat="false" ht="15" hidden="false" customHeight="true" outlineLevel="0" collapsed="false">
      <c r="A62" s="13" t="s">
        <v>877</v>
      </c>
      <c r="B62" s="13"/>
      <c r="C62" s="13"/>
      <c r="D62" s="13"/>
      <c r="E62" s="13"/>
      <c r="F62" s="13"/>
      <c r="G62" s="13"/>
      <c r="H62" s="13"/>
      <c r="I62" s="13"/>
    </row>
    <row r="63" customFormat="false" ht="15.75" hidden="false" customHeight="true" outlineLevel="0" collapsed="false"/>
    <row r="64" customFormat="false" ht="15" hidden="false" customHeight="true" outlineLevel="0" collapsed="false">
      <c r="A64" s="63" t="s">
        <v>878</v>
      </c>
      <c r="B64" s="51" t="n">
        <v>739</v>
      </c>
      <c r="C64" s="41" t="s">
        <v>879</v>
      </c>
      <c r="D64" s="41"/>
      <c r="E64" s="41"/>
      <c r="F64" s="41"/>
      <c r="G64" s="41"/>
      <c r="H64" s="41"/>
      <c r="I64" s="41"/>
    </row>
    <row r="65" customFormat="false" ht="15.75" hidden="false" customHeight="true" outlineLevel="0" collapsed="false"/>
    <row r="66" customFormat="false" ht="30" hidden="false" customHeight="true" outlineLevel="0" collapsed="false">
      <c r="A66" s="25" t="s">
        <v>34</v>
      </c>
      <c r="B66" s="25" t="s">
        <v>880</v>
      </c>
      <c r="C66" s="91" t="s">
        <v>881</v>
      </c>
      <c r="D66" s="25" t="s">
        <v>851</v>
      </c>
      <c r="E66" s="91" t="s">
        <v>882</v>
      </c>
      <c r="F66" s="25" t="s">
        <v>851</v>
      </c>
      <c r="G66" s="25" t="s">
        <v>634</v>
      </c>
      <c r="H66" s="25"/>
      <c r="I66" s="25"/>
    </row>
    <row r="67" customFormat="false" ht="15" hidden="false" customHeight="true" outlineLevel="0" collapsed="false">
      <c r="A67" s="92" t="s">
        <v>400</v>
      </c>
      <c r="B67" s="139" t="n">
        <f aca="false">Scenarios!I5</f>
        <v>2173.94539817222</v>
      </c>
      <c r="C67" s="94" t="n">
        <f aca="false">(B67*Assumptions!$B$6-$C$15)/(Assumptions!$B$6-$C$15/$B$64)</f>
        <v>2230.56659279245</v>
      </c>
      <c r="D67" s="49" t="n">
        <f aca="false">C67/B67-1</f>
        <v>0.026045361888041</v>
      </c>
      <c r="E67" s="94" t="n">
        <f aca="false">(B67*Assumptions!$B$6-$C$14)/(Assumptions!$B$6-$C$14/$B$64)</f>
        <v>3372.17699178516</v>
      </c>
      <c r="F67" s="49" t="n">
        <f aca="false">E67/B67-1</f>
        <v>0.551178329787114</v>
      </c>
      <c r="G67" s="140" t="str">
        <f aca="false">IF(B67&gt;$B$64,"Intrinsic value above purchase price - value created","Intrinsic value below purchase price - value destroyed")</f>
        <v>Intrinsic value above purchase price - value created</v>
      </c>
      <c r="H67" s="140"/>
      <c r="I67" s="140"/>
    </row>
    <row r="68" customFormat="false" ht="15" hidden="false" customHeight="true" outlineLevel="0" collapsed="false">
      <c r="A68" s="95" t="s">
        <v>402</v>
      </c>
      <c r="B68" s="139" t="n">
        <f aca="false">Scenarios!I6</f>
        <v>1541.65831867811</v>
      </c>
      <c r="C68" s="96" t="n">
        <f aca="false">(B68*Assumptions!$B$6-$C$15)/(Assumptions!$B$6-$C$15/$B$64)</f>
        <v>1573.33023660148</v>
      </c>
      <c r="D68" s="49" t="n">
        <f aca="false">C68/B68-1</f>
        <v>0.0205440580053595</v>
      </c>
      <c r="E68" s="96" t="n">
        <f aca="false">(B68*Assumptions!$B$6-$C$14)/(Assumptions!$B$6-$C$14/$B$64)</f>
        <v>2211.90720587719</v>
      </c>
      <c r="F68" s="49" t="n">
        <f aca="false">E68/B68-1</f>
        <v>0.434758389118139</v>
      </c>
      <c r="G68" s="140" t="str">
        <f aca="false">IF(B68&gt;$B$64,"Intrinsic value above purchase price - value created","Intrinsic value below purchase price - value destroyed")</f>
        <v>Intrinsic value above purchase price - value created</v>
      </c>
      <c r="H68" s="140"/>
      <c r="I68" s="140"/>
    </row>
    <row r="69" customFormat="false" ht="15" hidden="false" customHeight="true" outlineLevel="0" collapsed="false">
      <c r="A69" s="97" t="s">
        <v>404</v>
      </c>
      <c r="B69" s="139" t="n">
        <f aca="false">Scenarios!I7</f>
        <v>399.71553431651</v>
      </c>
      <c r="C69" s="98" t="n">
        <f aca="false">(B69*Assumptions!$B$6-$C$15)/(Assumptions!$B$6-$C$15/$B$64)</f>
        <v>386.327783265106</v>
      </c>
      <c r="D69" s="49" t="n">
        <f aca="false">C69/B69-1</f>
        <v>-0.0334931967913043</v>
      </c>
      <c r="E69" s="98" t="n">
        <f aca="false">(B69*Assumptions!$B$6-$C$14)/(Assumptions!$B$6-$C$14/$B$64)</f>
        <v>116.400666362732</v>
      </c>
      <c r="F69" s="49" t="n">
        <f aca="false">E69/B69-1</f>
        <v>-0.708791236843547</v>
      </c>
      <c r="G69" s="140" t="str">
        <f aca="false">IF(B69&gt;$B$64,"Intrinsic value above purchase price - value created","Intrinsic value below purchase price - value destroyed")</f>
        <v>Intrinsic value below purchase price - value destroyed</v>
      </c>
      <c r="H69" s="140"/>
      <c r="I69" s="140"/>
    </row>
    <row r="70" customFormat="false" ht="15.75" hidden="false" customHeight="true" outlineLevel="0" collapsed="false"/>
    <row r="71" customFormat="false" ht="16.5" hidden="false" customHeight="true" outlineLevel="0" collapsed="false">
      <c r="A71" s="14" t="str">
        <f aca="false">"In the base case (implied price "&amp;TEXT(B68,"$#,##0")&amp;"), a purchase price of "&amp;TEXT($B$64,"$#,##0")&amp;" exceeds intrinsic value, so the buyback lowers per-share value."</f>
        <v>In the base case (implied price $1,542), a purchase price of $739 exceeds intrinsic value, so the buyback lowers per-share value.</v>
      </c>
      <c r="B71" s="14"/>
      <c r="C71" s="14"/>
      <c r="D71" s="14"/>
      <c r="E71" s="14"/>
      <c r="F71" s="14"/>
      <c r="G71" s="14"/>
      <c r="H71" s="14"/>
      <c r="I71" s="14"/>
    </row>
    <row r="72" customFormat="false" ht="16.5" hidden="false" customHeight="true" outlineLevel="0" collapsed="false">
      <c r="A72" s="14" t="s">
        <v>883</v>
      </c>
      <c r="B72" s="14"/>
      <c r="C72" s="14"/>
      <c r="D72" s="14"/>
      <c r="E72" s="14"/>
      <c r="F72" s="14"/>
      <c r="G72" s="14"/>
      <c r="H72" s="14"/>
      <c r="I72" s="14"/>
    </row>
    <row r="73" customFormat="false" ht="15" hidden="false" customHeight="true" outlineLevel="0" collapsed="false">
      <c r="A73" s="13" t="s">
        <v>884</v>
      </c>
      <c r="B73" s="13"/>
      <c r="C73" s="13"/>
      <c r="D73" s="13"/>
      <c r="E73" s="13"/>
      <c r="F73" s="13"/>
      <c r="G73" s="13"/>
      <c r="H73" s="13"/>
      <c r="I73" s="13"/>
    </row>
    <row r="74" customFormat="false" ht="15" hidden="false" customHeight="true" outlineLevel="0" collapsed="false">
      <c r="A74" s="13" t="s">
        <v>885</v>
      </c>
      <c r="B74" s="13"/>
      <c r="C74" s="13"/>
      <c r="D74" s="13"/>
      <c r="E74" s="13"/>
      <c r="F74" s="13"/>
      <c r="G74" s="13"/>
      <c r="H74" s="13"/>
      <c r="I74" s="13"/>
    </row>
    <row r="75" customFormat="false" ht="15.75" hidden="false" customHeight="true" outlineLevel="0" collapsed="false"/>
    <row r="76" customFormat="false" ht="16.5" hidden="false" customHeight="true" outlineLevel="0" collapsed="false">
      <c r="A76" s="24" t="s">
        <v>886</v>
      </c>
      <c r="B76" s="24"/>
      <c r="C76" s="24"/>
      <c r="D76" s="24"/>
      <c r="E76" s="24"/>
      <c r="F76" s="24"/>
      <c r="G76" s="24"/>
      <c r="H76" s="24"/>
      <c r="I76" s="24"/>
    </row>
    <row r="77" customFormat="false" ht="29.25" hidden="false" customHeight="true" outlineLevel="0" collapsed="false">
      <c r="A77" s="25" t="s">
        <v>34</v>
      </c>
      <c r="B77" s="25" t="s">
        <v>887</v>
      </c>
      <c r="C77" s="25" t="s">
        <v>888</v>
      </c>
      <c r="D77" s="25" t="s">
        <v>349</v>
      </c>
      <c r="E77" s="25"/>
      <c r="F77" s="25"/>
      <c r="G77" s="25"/>
      <c r="H77" s="25"/>
      <c r="I77" s="25"/>
    </row>
    <row r="78" customFormat="false" ht="15" hidden="false" customHeight="true" outlineLevel="0" collapsed="false">
      <c r="A78" s="92" t="s">
        <v>400</v>
      </c>
      <c r="B78" s="94" t="n">
        <f aca="false">B67</f>
        <v>2173.94539817222</v>
      </c>
      <c r="C78" s="49" t="n">
        <f aca="false">B78/Assumptions!$B$5-1</f>
        <v>1.41549488685802</v>
      </c>
      <c r="D78" s="10" t="str">
        <f aca="false">IF(B78&gt;Assumptions!$B$5,"Buying at the current price still creates value","Buying at the current price destroys value - the company should wait")</f>
        <v>Buying at the current price still creates value</v>
      </c>
      <c r="E78" s="10"/>
      <c r="F78" s="10"/>
      <c r="G78" s="10"/>
      <c r="H78" s="10"/>
      <c r="I78" s="10"/>
    </row>
    <row r="79" customFormat="false" ht="15" hidden="false" customHeight="true" outlineLevel="0" collapsed="false">
      <c r="A79" s="95" t="s">
        <v>402</v>
      </c>
      <c r="B79" s="96" t="n">
        <f aca="false">B68</f>
        <v>1541.65831867811</v>
      </c>
      <c r="C79" s="49" t="n">
        <f aca="false">B79/Assumptions!$B$5-1</f>
        <v>0.712953687420125</v>
      </c>
      <c r="D79" s="10" t="str">
        <f aca="false">IF(B79&gt;Assumptions!$B$5,"Buying at the current price still creates value","Buying at the current price destroys value - the company should wait")</f>
        <v>Buying at the current price still creates value</v>
      </c>
      <c r="E79" s="10"/>
      <c r="F79" s="10"/>
      <c r="G79" s="10"/>
      <c r="H79" s="10"/>
      <c r="I79" s="10"/>
    </row>
    <row r="80" customFormat="false" ht="15" hidden="false" customHeight="true" outlineLevel="0" collapsed="false">
      <c r="A80" s="97" t="s">
        <v>404</v>
      </c>
      <c r="B80" s="98" t="n">
        <f aca="false">B69</f>
        <v>399.71553431651</v>
      </c>
      <c r="C80" s="49" t="n">
        <f aca="false">B80/Assumptions!$B$5-1</f>
        <v>-0.555871628537211</v>
      </c>
      <c r="D80" s="10" t="str">
        <f aca="false">IF(B80&gt;Assumptions!$B$5,"Buying at the current price still creates value","Buying at the current price destroys value - the company should wait")</f>
        <v>Buying at the current price destroys value - the company should wait</v>
      </c>
      <c r="E80" s="10"/>
      <c r="F80" s="10"/>
      <c r="G80" s="10"/>
      <c r="H80" s="10"/>
      <c r="I80" s="10"/>
    </row>
    <row r="81" customFormat="false" ht="16.5" hidden="false" customHeight="true" outlineLevel="0" collapsed="false">
      <c r="A81" s="14" t="s">
        <v>889</v>
      </c>
      <c r="B81" s="14"/>
      <c r="C81" s="14"/>
      <c r="D81" s="14"/>
      <c r="E81" s="14"/>
      <c r="F81" s="14"/>
      <c r="G81" s="14"/>
      <c r="H81" s="14"/>
      <c r="I81" s="14"/>
    </row>
    <row r="82" customFormat="false" ht="15" hidden="false" customHeight="true" outlineLevel="0" collapsed="false">
      <c r="A82" s="13" t="s">
        <v>890</v>
      </c>
      <c r="B82" s="13"/>
      <c r="C82" s="13"/>
      <c r="D82" s="13"/>
      <c r="E82" s="13"/>
      <c r="F82" s="13"/>
      <c r="G82" s="13"/>
      <c r="H82" s="13"/>
      <c r="I82" s="13"/>
    </row>
    <row r="83" customFormat="false" ht="15.75" hidden="false" customHeight="true" outlineLevel="0" collapsed="false"/>
    <row r="84" customFormat="false" ht="16.5" hidden="false" customHeight="true" outlineLevel="0" collapsed="false">
      <c r="A84" s="14" t="s">
        <v>891</v>
      </c>
      <c r="B84" s="14"/>
      <c r="C84" s="14"/>
      <c r="D84" s="14"/>
      <c r="E84" s="14"/>
      <c r="F84" s="14"/>
      <c r="G84" s="14"/>
      <c r="H84" s="14"/>
      <c r="I84" s="14"/>
    </row>
    <row r="85" customFormat="false" ht="21.75" hidden="false" customHeight="true" outlineLevel="0" collapsed="false">
      <c r="A85" s="141" t="s">
        <v>892</v>
      </c>
      <c r="B85" s="141"/>
      <c r="C85" s="141"/>
      <c r="D85" s="141"/>
      <c r="E85" s="141"/>
      <c r="F85" s="141"/>
      <c r="G85" s="141"/>
      <c r="H85" s="141"/>
      <c r="I85" s="141"/>
    </row>
    <row r="86" customFormat="false" ht="21.75" hidden="false" customHeight="true" outlineLevel="0" collapsed="false">
      <c r="A86" s="141" t="s">
        <v>893</v>
      </c>
      <c r="B86" s="141"/>
      <c r="C86" s="141"/>
      <c r="D86" s="141"/>
      <c r="E86" s="141"/>
      <c r="F86" s="141"/>
      <c r="G86" s="141"/>
      <c r="H86" s="141"/>
      <c r="I86" s="141"/>
    </row>
    <row r="87" customFormat="false" ht="21.75" hidden="false" customHeight="true" outlineLevel="0" collapsed="false">
      <c r="A87" s="142" t="s">
        <v>894</v>
      </c>
      <c r="B87" s="142"/>
      <c r="C87" s="142"/>
      <c r="D87" s="142"/>
      <c r="E87" s="142"/>
      <c r="F87" s="142"/>
      <c r="G87" s="142"/>
      <c r="H87" s="142"/>
      <c r="I87" s="142"/>
    </row>
    <row r="88" customFormat="false" ht="21.75" hidden="false" customHeight="true" outlineLevel="0" collapsed="false">
      <c r="A88" s="141" t="s">
        <v>895</v>
      </c>
      <c r="B88" s="141"/>
      <c r="C88" s="141"/>
      <c r="D88" s="141"/>
      <c r="E88" s="141"/>
      <c r="F88" s="141"/>
      <c r="G88" s="141"/>
      <c r="H88" s="141"/>
      <c r="I88" s="141"/>
    </row>
    <row r="89" customFormat="false" ht="15.75" hidden="false" customHeight="true" outlineLevel="0" collapsed="false"/>
    <row r="90" customFormat="false" ht="15" hidden="false" customHeight="true" outlineLevel="0" collapsed="false">
      <c r="A90" s="99" t="s">
        <v>896</v>
      </c>
      <c r="B90" s="99"/>
      <c r="C90" s="99"/>
      <c r="D90" s="99"/>
      <c r="E90" s="99"/>
      <c r="F90" s="99"/>
      <c r="G90" s="99"/>
      <c r="H90" s="99"/>
      <c r="I90" s="99"/>
    </row>
    <row r="91" customFormat="false" ht="15" hidden="false" customHeight="true" outlineLevel="0" collapsed="false">
      <c r="A91" s="50" t="s">
        <v>897</v>
      </c>
      <c r="B91" s="10" t="s">
        <v>898</v>
      </c>
      <c r="C91" s="44" t="s">
        <v>899</v>
      </c>
      <c r="D91" s="44"/>
      <c r="E91" s="44"/>
      <c r="F91" s="44"/>
      <c r="G91" s="44"/>
      <c r="H91" s="44"/>
      <c r="I91" s="44"/>
    </row>
    <row r="92" customFormat="false" ht="15" hidden="false" customHeight="true" outlineLevel="0" collapsed="false">
      <c r="A92" s="50" t="s">
        <v>900</v>
      </c>
      <c r="B92" s="50" t="s">
        <v>901</v>
      </c>
      <c r="C92" s="44" t="s">
        <v>902</v>
      </c>
      <c r="D92" s="44"/>
      <c r="E92" s="44"/>
      <c r="F92" s="44"/>
      <c r="G92" s="44"/>
      <c r="H92" s="44"/>
      <c r="I92" s="44"/>
    </row>
    <row r="93" customFormat="false" ht="15" hidden="false" customHeight="true" outlineLevel="0" collapsed="false">
      <c r="A93" s="50" t="s">
        <v>710</v>
      </c>
      <c r="B93" s="10" t="s">
        <v>903</v>
      </c>
      <c r="C93" s="44" t="s">
        <v>904</v>
      </c>
      <c r="D93" s="44"/>
      <c r="E93" s="44"/>
      <c r="F93" s="44"/>
      <c r="G93" s="44"/>
      <c r="H93" s="44"/>
      <c r="I93" s="44"/>
    </row>
    <row r="94" customFormat="false" ht="15" hidden="false" customHeight="true" outlineLevel="0" collapsed="false">
      <c r="A94" s="50" t="s">
        <v>711</v>
      </c>
      <c r="B94" s="50" t="s">
        <v>905</v>
      </c>
      <c r="C94" s="44" t="s">
        <v>906</v>
      </c>
      <c r="D94" s="44"/>
      <c r="E94" s="44"/>
      <c r="F94" s="44"/>
      <c r="G94" s="44"/>
      <c r="H94" s="44"/>
      <c r="I94" s="44"/>
    </row>
    <row r="95" customFormat="false" ht="15" hidden="false" customHeight="true" outlineLevel="0" collapsed="false">
      <c r="A95" s="50" t="s">
        <v>907</v>
      </c>
      <c r="B95" s="50" t="s">
        <v>908</v>
      </c>
      <c r="C95" s="44" t="s">
        <v>906</v>
      </c>
      <c r="D95" s="44"/>
      <c r="E95" s="44"/>
      <c r="F95" s="44"/>
      <c r="G95" s="44"/>
      <c r="H95" s="44"/>
      <c r="I95" s="44"/>
    </row>
    <row r="96" customFormat="false" ht="15" hidden="false" customHeight="true" outlineLevel="0" collapsed="false">
      <c r="A96" s="50" t="s">
        <v>709</v>
      </c>
      <c r="B96" s="50" t="s">
        <v>909</v>
      </c>
      <c r="C96" s="44" t="s">
        <v>910</v>
      </c>
      <c r="D96" s="44"/>
      <c r="E96" s="44"/>
      <c r="F96" s="44"/>
      <c r="G96" s="44"/>
      <c r="H96" s="44"/>
      <c r="I96" s="44"/>
    </row>
    <row r="97" customFormat="false" ht="15" hidden="false" customHeight="true" outlineLevel="0" collapsed="false">
      <c r="A97" s="50" t="s">
        <v>911</v>
      </c>
      <c r="B97" s="50" t="s">
        <v>912</v>
      </c>
      <c r="C97" s="44" t="s">
        <v>913</v>
      </c>
      <c r="D97" s="44"/>
      <c r="E97" s="44"/>
      <c r="F97" s="44"/>
      <c r="G97" s="44"/>
      <c r="H97" s="44"/>
      <c r="I97" s="44"/>
    </row>
    <row r="98" customFormat="false" ht="15" hidden="false" customHeight="true" outlineLevel="0" collapsed="false">
      <c r="A98" s="13" t="s">
        <v>914</v>
      </c>
      <c r="B98" s="13"/>
      <c r="C98" s="13"/>
      <c r="D98" s="13"/>
      <c r="E98" s="13"/>
      <c r="F98" s="13"/>
      <c r="G98" s="13"/>
      <c r="H98" s="13"/>
      <c r="I98" s="13"/>
    </row>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mergeCells count="76">
    <mergeCell ref="A1:H1"/>
    <mergeCell ref="A3:H3"/>
    <mergeCell ref="B4:H4"/>
    <mergeCell ref="B5:H5"/>
    <mergeCell ref="B6:H6"/>
    <mergeCell ref="B7:H7"/>
    <mergeCell ref="B8:H8"/>
    <mergeCell ref="B9:H9"/>
    <mergeCell ref="B10:H10"/>
    <mergeCell ref="A12:H12"/>
    <mergeCell ref="E13:H13"/>
    <mergeCell ref="E14:H14"/>
    <mergeCell ref="E15:H15"/>
    <mergeCell ref="E16:H16"/>
    <mergeCell ref="A17:H17"/>
    <mergeCell ref="A19:H19"/>
    <mergeCell ref="C20:H20"/>
    <mergeCell ref="C21:H21"/>
    <mergeCell ref="C22:H22"/>
    <mergeCell ref="C23:H23"/>
    <mergeCell ref="C24:H24"/>
    <mergeCell ref="A26:H26"/>
    <mergeCell ref="E27:H27"/>
    <mergeCell ref="E28:H28"/>
    <mergeCell ref="E29:H29"/>
    <mergeCell ref="E30:H30"/>
    <mergeCell ref="E31:H31"/>
    <mergeCell ref="E32:H32"/>
    <mergeCell ref="E33:H33"/>
    <mergeCell ref="E34:H34"/>
    <mergeCell ref="A36:H36"/>
    <mergeCell ref="A37:H37"/>
    <mergeCell ref="A38:H38"/>
    <mergeCell ref="A40:H40"/>
    <mergeCell ref="A48:H48"/>
    <mergeCell ref="A49:H49"/>
    <mergeCell ref="A51:H51"/>
    <mergeCell ref="A52:H52"/>
    <mergeCell ref="A53:H53"/>
    <mergeCell ref="A54:H54"/>
    <mergeCell ref="A55:H55"/>
    <mergeCell ref="A56:H56"/>
    <mergeCell ref="A58:H58"/>
    <mergeCell ref="A60:I60"/>
    <mergeCell ref="A61:I61"/>
    <mergeCell ref="A62:I62"/>
    <mergeCell ref="C64:I64"/>
    <mergeCell ref="G66:I66"/>
    <mergeCell ref="G67:I67"/>
    <mergeCell ref="G68:I68"/>
    <mergeCell ref="G69:I69"/>
    <mergeCell ref="A71:I71"/>
    <mergeCell ref="A72:I72"/>
    <mergeCell ref="A73:I73"/>
    <mergeCell ref="A74:I74"/>
    <mergeCell ref="A76:I76"/>
    <mergeCell ref="D77:I77"/>
    <mergeCell ref="D78:I78"/>
    <mergeCell ref="D79:I79"/>
    <mergeCell ref="D80:I80"/>
    <mergeCell ref="A81:I81"/>
    <mergeCell ref="A82:I82"/>
    <mergeCell ref="A84:I84"/>
    <mergeCell ref="A85:I85"/>
    <mergeCell ref="A86:I86"/>
    <mergeCell ref="A87:I87"/>
    <mergeCell ref="A88:I88"/>
    <mergeCell ref="A90:I90"/>
    <mergeCell ref="C91:I91"/>
    <mergeCell ref="C92:I92"/>
    <mergeCell ref="C93:I93"/>
    <mergeCell ref="C94:I94"/>
    <mergeCell ref="C95:I95"/>
    <mergeCell ref="C96:I96"/>
    <mergeCell ref="C97:I97"/>
    <mergeCell ref="A98:I9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B3" activeCellId="0" sqref="B3"/>
    </sheetView>
  </sheetViews>
  <sheetFormatPr defaultColWidth="12.62890625" defaultRowHeight="15" customHeight="true" zeroHeight="false" outlineLevelRow="0" outlineLevelCol="0"/>
  <cols>
    <col collapsed="false" customWidth="true" hidden="false" outlineLevel="0" max="1" min="1" style="1" width="26"/>
    <col collapsed="false" customWidth="true" hidden="false" outlineLevel="0" max="9" min="2" style="1" width="15"/>
    <col collapsed="false" customWidth="true" hidden="false" outlineLevel="0" max="26" min="10" style="1" width="8.5"/>
  </cols>
  <sheetData>
    <row r="1" customFormat="false" ht="24" hidden="false" customHeight="true" outlineLevel="0" collapsed="false">
      <c r="A1" s="23" t="s">
        <v>915</v>
      </c>
      <c r="B1" s="23"/>
      <c r="C1" s="23"/>
      <c r="D1" s="23"/>
      <c r="E1" s="23"/>
      <c r="F1" s="23"/>
      <c r="G1" s="23"/>
      <c r="H1" s="23"/>
      <c r="I1" s="23"/>
    </row>
    <row r="3" customFormat="false" ht="16.5" hidden="false" customHeight="true" outlineLevel="0" collapsed="false">
      <c r="A3" s="24" t="s">
        <v>916</v>
      </c>
      <c r="B3" s="24"/>
      <c r="C3" s="24"/>
      <c r="D3" s="24"/>
      <c r="E3" s="24"/>
      <c r="F3" s="24"/>
      <c r="G3" s="24"/>
      <c r="H3" s="24"/>
      <c r="I3" s="24"/>
    </row>
    <row r="4" customFormat="false" ht="15" hidden="false" customHeight="true" outlineLevel="0" collapsed="false">
      <c r="A4" s="66" t="s">
        <v>252</v>
      </c>
      <c r="B4" s="53" t="n">
        <f aca="false">CurrentData!B6</f>
        <v>1255</v>
      </c>
      <c r="C4" s="44" t="s">
        <v>253</v>
      </c>
      <c r="D4" s="44"/>
      <c r="E4" s="44"/>
      <c r="F4" s="44"/>
      <c r="G4" s="44"/>
      <c r="H4" s="44"/>
      <c r="I4" s="44"/>
    </row>
    <row r="5" customFormat="false" ht="15" hidden="false" customHeight="true" outlineLevel="0" collapsed="false">
      <c r="A5" s="63" t="s">
        <v>187</v>
      </c>
      <c r="B5" s="53" t="n">
        <f aca="false">Assumptions!B5</f>
        <v>900</v>
      </c>
      <c r="C5" s="41"/>
      <c r="D5" s="41"/>
      <c r="E5" s="41"/>
      <c r="F5" s="41"/>
      <c r="G5" s="41"/>
      <c r="H5" s="41"/>
      <c r="I5" s="41"/>
    </row>
    <row r="6" customFormat="false" ht="15" hidden="false" customHeight="true" outlineLevel="0" collapsed="false">
      <c r="A6" s="63" t="s">
        <v>917</v>
      </c>
      <c r="B6" s="49" t="n">
        <f aca="false">B5/B4-1</f>
        <v>-0.282868525896414</v>
      </c>
      <c r="C6" s="41" t="s">
        <v>918</v>
      </c>
      <c r="D6" s="41"/>
      <c r="E6" s="41"/>
      <c r="F6" s="41"/>
      <c r="G6" s="41"/>
      <c r="H6" s="41"/>
      <c r="I6" s="41"/>
    </row>
    <row r="7" customFormat="false" ht="15" hidden="false" customHeight="true" outlineLevel="0" collapsed="false">
      <c r="A7" s="63" t="s">
        <v>919</v>
      </c>
      <c r="B7" s="54" t="n">
        <v>31700</v>
      </c>
      <c r="C7" s="44" t="s">
        <v>920</v>
      </c>
      <c r="D7" s="44"/>
      <c r="E7" s="44"/>
      <c r="F7" s="44"/>
      <c r="G7" s="44"/>
      <c r="H7" s="44"/>
      <c r="I7" s="44"/>
    </row>
    <row r="8" customFormat="false" ht="15" hidden="false" customHeight="true" outlineLevel="0" collapsed="false">
      <c r="A8" s="63" t="s">
        <v>370</v>
      </c>
      <c r="B8" s="143" t="n">
        <f aca="false">Assumptions!B6</f>
        <v>1130</v>
      </c>
      <c r="C8" s="41"/>
      <c r="D8" s="41"/>
      <c r="E8" s="41"/>
      <c r="F8" s="41"/>
      <c r="G8" s="41"/>
      <c r="H8" s="41"/>
      <c r="I8" s="41"/>
    </row>
    <row r="10" customFormat="false" ht="16.5" hidden="false" customHeight="true" outlineLevel="0" collapsed="false">
      <c r="A10" s="24" t="s">
        <v>921</v>
      </c>
      <c r="B10" s="24"/>
      <c r="C10" s="24"/>
      <c r="D10" s="24"/>
      <c r="E10" s="24"/>
      <c r="F10" s="24"/>
      <c r="G10" s="24"/>
      <c r="H10" s="24"/>
      <c r="I10" s="24"/>
    </row>
    <row r="11" customFormat="false" ht="30" hidden="false" customHeight="true" outlineLevel="0" collapsed="false">
      <c r="A11" s="25" t="s">
        <v>922</v>
      </c>
      <c r="B11" s="25" t="s">
        <v>923</v>
      </c>
      <c r="C11" s="25" t="s">
        <v>924</v>
      </c>
      <c r="D11" s="25" t="s">
        <v>925</v>
      </c>
      <c r="E11" s="25" t="s">
        <v>926</v>
      </c>
      <c r="F11" s="91" t="s">
        <v>927</v>
      </c>
      <c r="G11" s="91" t="s">
        <v>928</v>
      </c>
      <c r="H11" s="25" t="s">
        <v>929</v>
      </c>
    </row>
    <row r="12" customFormat="false" ht="15" hidden="false" customHeight="true" outlineLevel="0" collapsed="false">
      <c r="A12" s="63" t="s">
        <v>930</v>
      </c>
      <c r="B12" s="47" t="n">
        <v>-0.3</v>
      </c>
      <c r="C12" s="81" t="n">
        <f aca="false">$B$4*(1+B12)</f>
        <v>878.5</v>
      </c>
      <c r="D12" s="47" t="n">
        <v>0.333333333333333</v>
      </c>
      <c r="E12" s="47" t="n">
        <v>0.3</v>
      </c>
      <c r="F12" s="144" t="n">
        <f aca="false">$B$7*D12/C12</f>
        <v>12.0280781635363</v>
      </c>
      <c r="G12" s="144" t="n">
        <f aca="false">$B$7*E12/C12</f>
        <v>10.8252703471827</v>
      </c>
      <c r="H12" s="47" t="n">
        <v>1</v>
      </c>
    </row>
    <row r="13" customFormat="false" ht="15" hidden="false" customHeight="true" outlineLevel="0" collapsed="false">
      <c r="A13" s="63" t="s">
        <v>931</v>
      </c>
      <c r="B13" s="47" t="n">
        <v>-0.5</v>
      </c>
      <c r="C13" s="81" t="n">
        <f aca="false">$B$4*(1+B13)</f>
        <v>627.5</v>
      </c>
      <c r="D13" s="47" t="n">
        <v>0.333333333333333</v>
      </c>
      <c r="E13" s="47" t="n">
        <v>0.4</v>
      </c>
      <c r="F13" s="144" t="n">
        <f aca="false">$B$7*D13/C13</f>
        <v>16.8393094289508</v>
      </c>
      <c r="G13" s="144" t="n">
        <f aca="false">$B$7*E13/C13</f>
        <v>20.207171314741</v>
      </c>
      <c r="H13" s="47" t="n">
        <v>0.5</v>
      </c>
    </row>
    <row r="14" customFormat="false" ht="15" hidden="false" customHeight="true" outlineLevel="0" collapsed="false">
      <c r="A14" s="63" t="s">
        <v>932</v>
      </c>
      <c r="B14" s="47" t="n">
        <v>-0.8</v>
      </c>
      <c r="C14" s="81" t="n">
        <f aca="false">$B$4*(1+B14)</f>
        <v>251</v>
      </c>
      <c r="D14" s="47" t="n">
        <v>0.333333333333333</v>
      </c>
      <c r="E14" s="47" t="n">
        <v>0.3</v>
      </c>
      <c r="F14" s="144" t="n">
        <f aca="false">$B$7*D14/C14</f>
        <v>42.0982735723771</v>
      </c>
      <c r="G14" s="144" t="n">
        <f aca="false">$B$7*E14/C14</f>
        <v>37.8884462151395</v>
      </c>
      <c r="H14" s="47" t="n">
        <v>0.15</v>
      </c>
    </row>
    <row r="15" customFormat="false" ht="15" hidden="false" customHeight="true" outlineLevel="0" collapsed="false">
      <c r="A15" s="63" t="s">
        <v>933</v>
      </c>
      <c r="D15" s="145" t="n">
        <f aca="false">SUM(D12:D14)</f>
        <v>0.999999999999999</v>
      </c>
      <c r="E15" s="145" t="n">
        <f aca="false">SUM(E12:E14)</f>
        <v>1</v>
      </c>
      <c r="F15" s="146" t="n">
        <f aca="false">SUM(F12:F14)</f>
        <v>70.9656611648643</v>
      </c>
      <c r="G15" s="146" t="n">
        <f aca="false">SUM(G12:G14)</f>
        <v>68.9208878770632</v>
      </c>
    </row>
    <row r="17" customFormat="false" ht="16.5" hidden="false" customHeight="true" outlineLevel="0" collapsed="false">
      <c r="A17" s="24" t="s">
        <v>934</v>
      </c>
      <c r="B17" s="24"/>
      <c r="C17" s="24"/>
      <c r="D17" s="24"/>
      <c r="E17" s="24"/>
      <c r="F17" s="24"/>
      <c r="G17" s="24"/>
      <c r="H17" s="24"/>
      <c r="I17" s="24"/>
    </row>
    <row r="18" customFormat="false" ht="13.5" hidden="false" customHeight="true" outlineLevel="0" collapsed="false">
      <c r="A18" s="13" t="s">
        <v>935</v>
      </c>
      <c r="B18" s="13"/>
      <c r="C18" s="13"/>
      <c r="D18" s="13"/>
      <c r="E18" s="13"/>
      <c r="F18" s="13"/>
      <c r="G18" s="13"/>
      <c r="H18" s="13"/>
      <c r="I18" s="13"/>
    </row>
    <row r="19" customFormat="false" ht="30" hidden="false" customHeight="true" outlineLevel="0" collapsed="false">
      <c r="A19" s="25" t="s">
        <v>936</v>
      </c>
      <c r="B19" s="25" t="s">
        <v>937</v>
      </c>
      <c r="C19" s="25" t="s">
        <v>938</v>
      </c>
      <c r="D19" s="25" t="s">
        <v>939</v>
      </c>
      <c r="E19" s="25" t="s">
        <v>940</v>
      </c>
      <c r="F19" s="25" t="s">
        <v>845</v>
      </c>
      <c r="G19" s="91" t="s">
        <v>941</v>
      </c>
    </row>
    <row r="20" customFormat="false" ht="15" hidden="false" customHeight="true" outlineLevel="0" collapsed="false">
      <c r="A20" s="63" t="s">
        <v>925</v>
      </c>
      <c r="B20" s="52" t="n">
        <f aca="false">SUMPRODUCT(D12:D14,C12:C14)</f>
        <v>585.666666666666</v>
      </c>
      <c r="C20" s="81" t="n">
        <f aca="false">$B$7/F15</f>
        <v>446.694915254238</v>
      </c>
      <c r="D20" s="49" t="n">
        <f aca="false">C20/B20-1</f>
        <v>-0.237288135593219</v>
      </c>
      <c r="E20" s="144" t="n">
        <f aca="false">F15</f>
        <v>70.9656611648643</v>
      </c>
      <c r="F20" s="49" t="n">
        <f aca="false">E20/$B$8</f>
        <v>0.062801470057402</v>
      </c>
      <c r="G20" s="82" t="n">
        <f aca="false">E20/$E$22-1</f>
        <v>1.01479795105293</v>
      </c>
    </row>
    <row r="21" customFormat="false" ht="15" hidden="false" customHeight="true" outlineLevel="0" collapsed="false">
      <c r="A21" s="63" t="s">
        <v>926</v>
      </c>
      <c r="B21" s="52" t="n">
        <f aca="false">SUMPRODUCT(E12:E14,C12:C14)</f>
        <v>589.85</v>
      </c>
      <c r="C21" s="81" t="n">
        <f aca="false">$B$7/G15</f>
        <v>459.947643979058</v>
      </c>
      <c r="D21" s="49" t="n">
        <f aca="false">C21/B21-1</f>
        <v>-0.220229475325833</v>
      </c>
      <c r="E21" s="144" t="n">
        <f aca="false">G15</f>
        <v>68.9208878770632</v>
      </c>
      <c r="F21" s="49" t="n">
        <f aca="false">E21/$B$8</f>
        <v>0.0609919361743922</v>
      </c>
      <c r="G21" s="82" t="n">
        <f aca="false">E21/$E$22-1</f>
        <v>0.956744450768356</v>
      </c>
    </row>
    <row r="22" customFormat="false" ht="15" hidden="false" customHeight="true" outlineLevel="0" collapsed="false">
      <c r="A22" s="63" t="s">
        <v>942</v>
      </c>
      <c r="B22" s="52" t="n">
        <f aca="false">Assumptions!B5</f>
        <v>900</v>
      </c>
      <c r="C22" s="81" t="n">
        <f aca="false">Assumptions!B5</f>
        <v>900</v>
      </c>
      <c r="D22" s="49" t="n">
        <f aca="false">C22/B22-1</f>
        <v>0</v>
      </c>
      <c r="E22" s="144" t="n">
        <f aca="false">$B$7/Assumptions!B5</f>
        <v>35.2222222222222</v>
      </c>
      <c r="F22" s="49" t="n">
        <f aca="false">E22/$B$8</f>
        <v>0.0311701081612586</v>
      </c>
      <c r="G22" s="82" t="n">
        <f aca="false">E22/$E$22-1</f>
        <v>0</v>
      </c>
    </row>
    <row r="23" customFormat="false" ht="15.75" hidden="false" customHeight="true" outlineLevel="0" collapsed="false"/>
    <row r="24" customFormat="false" ht="16.5" hidden="false" customHeight="true" outlineLevel="0" collapsed="false">
      <c r="A24" s="14" t="s">
        <v>943</v>
      </c>
      <c r="B24" s="14"/>
      <c r="C24" s="14"/>
      <c r="D24" s="14"/>
      <c r="E24" s="14"/>
      <c r="F24" s="14"/>
      <c r="G24" s="14"/>
      <c r="H24" s="14"/>
      <c r="I24" s="14"/>
    </row>
    <row r="25" customFormat="false" ht="15.75" hidden="false" customHeight="true" outlineLevel="0" collapsed="false"/>
    <row r="26" customFormat="false" ht="16.5" hidden="false" customHeight="true" outlineLevel="0" collapsed="false">
      <c r="A26" s="24" t="s">
        <v>944</v>
      </c>
      <c r="B26" s="24"/>
      <c r="C26" s="24"/>
      <c r="D26" s="24"/>
      <c r="E26" s="24"/>
      <c r="F26" s="24"/>
      <c r="G26" s="24"/>
      <c r="H26" s="24"/>
      <c r="I26" s="24"/>
    </row>
    <row r="27" customFormat="false" ht="13.5" hidden="false" customHeight="true" outlineLevel="0" collapsed="false">
      <c r="A27" s="13" t="s">
        <v>945</v>
      </c>
      <c r="B27" s="13"/>
      <c r="C27" s="13"/>
      <c r="D27" s="13"/>
      <c r="E27" s="13"/>
      <c r="F27" s="13"/>
      <c r="G27" s="13"/>
      <c r="H27" s="13"/>
      <c r="I27" s="13"/>
    </row>
    <row r="28" customFormat="false" ht="15" hidden="false" customHeight="true" outlineLevel="0" collapsed="false">
      <c r="A28" s="25" t="s">
        <v>34</v>
      </c>
      <c r="B28" s="25" t="s">
        <v>946</v>
      </c>
      <c r="C28" s="91" t="s">
        <v>942</v>
      </c>
      <c r="D28" s="25" t="s">
        <v>947</v>
      </c>
      <c r="E28" s="25" t="s">
        <v>948</v>
      </c>
      <c r="F28" s="91" t="s">
        <v>949</v>
      </c>
      <c r="G28" s="91" t="s">
        <v>950</v>
      </c>
    </row>
    <row r="29" customFormat="false" ht="15" hidden="false" customHeight="true" outlineLevel="0" collapsed="false">
      <c r="A29" s="92" t="s">
        <v>400</v>
      </c>
      <c r="B29" s="139" t="n">
        <f aca="false">Scenarios!I5</f>
        <v>2173.94539817222</v>
      </c>
      <c r="C29" s="85" t="n">
        <f aca="false">(B29*$B$8-$B$7)/($B$8-$E$22)</f>
        <v>2214.93196989866</v>
      </c>
      <c r="D29" s="94" t="n">
        <f aca="false">(B29*$B$8-$B$7)/($B$8-$E$20)</f>
        <v>2289.68807810499</v>
      </c>
      <c r="E29" s="85" t="n">
        <f aca="false">(B29*$B$8-$B$7)/($B$8-$E$21)</f>
        <v>2285.27568984287</v>
      </c>
      <c r="F29" s="49" t="n">
        <f aca="false">D29/C29-1</f>
        <v>0.033750972590707</v>
      </c>
      <c r="G29" s="82" t="n">
        <f aca="false">D29/B29-1</f>
        <v>0.0532408403771689</v>
      </c>
    </row>
    <row r="30" customFormat="false" ht="15" hidden="false" customHeight="true" outlineLevel="0" collapsed="false">
      <c r="A30" s="95" t="s">
        <v>402</v>
      </c>
      <c r="B30" s="139" t="n">
        <f aca="false">Scenarios!I6</f>
        <v>1541.65831867811</v>
      </c>
      <c r="C30" s="85" t="n">
        <f aca="false">(B30*$B$8-$B$7)/($B$8-$E$22)</f>
        <v>1562.30235470988</v>
      </c>
      <c r="D30" s="96" t="n">
        <f aca="false">(B30*$B$8-$B$7)/($B$8-$E$20)</f>
        <v>1615.03157866209</v>
      </c>
      <c r="E30" s="85" t="n">
        <f aca="false">(B30*$B$8-$B$7)/($B$8-$E$21)</f>
        <v>1611.91930042263</v>
      </c>
      <c r="F30" s="49" t="n">
        <f aca="false">D30/C30-1</f>
        <v>0.0337509725907068</v>
      </c>
      <c r="G30" s="82" t="n">
        <f aca="false">D30/B30-1</f>
        <v>0.0475937236513513</v>
      </c>
    </row>
    <row r="31" customFormat="false" ht="15" hidden="false" customHeight="true" outlineLevel="0" collapsed="false">
      <c r="A31" s="97" t="s">
        <v>404</v>
      </c>
      <c r="B31" s="139" t="n">
        <f aca="false">Scenarios!I7</f>
        <v>399.71553431651</v>
      </c>
      <c r="C31" s="85" t="n">
        <f aca="false">(B31*$B$8-$B$7)/($B$8-$E$22)</f>
        <v>383.619911092957</v>
      </c>
      <c r="D31" s="98" t="n">
        <f aca="false">(B31*$B$8-$B$7)/($B$8-$E$20)</f>
        <v>396.567456197505</v>
      </c>
      <c r="E31" s="85" t="n">
        <f aca="false">(B31*$B$8-$B$7)/($B$8-$E$21)</f>
        <v>395.803243112939</v>
      </c>
      <c r="F31" s="49" t="n">
        <f aca="false">D31/C31-1</f>
        <v>0.033750972590707</v>
      </c>
      <c r="G31" s="82" t="n">
        <f aca="false">D31/B31-1</f>
        <v>-0.00787579628194335</v>
      </c>
    </row>
    <row r="32" customFormat="false" ht="15.75" hidden="false" customHeight="true" outlineLevel="0" collapsed="false"/>
    <row r="33" customFormat="false" ht="16.5" hidden="false" customHeight="true" outlineLevel="0" collapsed="false">
      <c r="A33" s="24" t="s">
        <v>951</v>
      </c>
      <c r="B33" s="24"/>
      <c r="C33" s="24"/>
      <c r="D33" s="24"/>
      <c r="E33" s="24"/>
      <c r="F33" s="24"/>
      <c r="G33" s="24"/>
      <c r="H33" s="24"/>
      <c r="I33" s="24"/>
    </row>
    <row r="34" customFormat="false" ht="21.75" hidden="false" customHeight="true" outlineLevel="0" collapsed="false">
      <c r="A34" s="36" t="s">
        <v>952</v>
      </c>
      <c r="B34" s="36"/>
      <c r="C34" s="36"/>
      <c r="D34" s="36"/>
      <c r="E34" s="36"/>
      <c r="F34" s="36"/>
      <c r="G34" s="36"/>
      <c r="H34" s="36"/>
      <c r="I34" s="36"/>
    </row>
    <row r="35" customFormat="false" ht="21.75" hidden="false" customHeight="true" outlineLevel="0" collapsed="false">
      <c r="A35" s="35" t="s">
        <v>953</v>
      </c>
      <c r="B35" s="35"/>
      <c r="C35" s="35"/>
      <c r="D35" s="35"/>
      <c r="E35" s="35"/>
      <c r="F35" s="35"/>
      <c r="G35" s="35"/>
      <c r="H35" s="35"/>
      <c r="I35" s="35"/>
    </row>
    <row r="36" customFormat="false" ht="21.75" hidden="false" customHeight="true" outlineLevel="0" collapsed="false">
      <c r="A36" s="36" t="s">
        <v>954</v>
      </c>
      <c r="B36" s="36"/>
      <c r="C36" s="36"/>
      <c r="D36" s="36"/>
      <c r="E36" s="36"/>
      <c r="F36" s="36"/>
      <c r="G36" s="36"/>
      <c r="H36" s="36"/>
      <c r="I36" s="36"/>
    </row>
    <row r="37" customFormat="false" ht="15.75" hidden="false" customHeight="true" outlineLevel="0" collapsed="false"/>
    <row r="38" customFormat="false" ht="15" hidden="false" customHeight="true" outlineLevel="0" collapsed="false">
      <c r="A38" s="25" t="s">
        <v>922</v>
      </c>
      <c r="B38" s="25" t="s">
        <v>924</v>
      </c>
      <c r="C38" s="25" t="s">
        <v>955</v>
      </c>
      <c r="D38" s="25" t="s">
        <v>956</v>
      </c>
      <c r="E38" s="25" t="s">
        <v>957</v>
      </c>
      <c r="F38" s="25" t="s">
        <v>634</v>
      </c>
      <c r="G38" s="25"/>
      <c r="H38" s="25"/>
      <c r="I38" s="25"/>
    </row>
    <row r="39" customFormat="false" ht="15" hidden="false" customHeight="true" outlineLevel="0" collapsed="false">
      <c r="A39" s="66" t="s">
        <v>958</v>
      </c>
      <c r="B39" s="52" t="n">
        <f aca="false">C12</f>
        <v>878.5</v>
      </c>
      <c r="C39" s="10" t="s">
        <v>959</v>
      </c>
      <c r="D39" s="139" t="n">
        <f aca="false">Scenarios!I6</f>
        <v>1541.65831867811</v>
      </c>
      <c r="E39" s="82" t="n">
        <f aca="false">D39/B39-1</f>
        <v>0.754875718472524</v>
      </c>
      <c r="F39" s="63" t="str">
        <f aca="false">IF(D39&gt;B39,"Value created","Value destroyed - looks cheap but is not")</f>
        <v>Value created</v>
      </c>
      <c r="G39" s="63"/>
      <c r="H39" s="63"/>
      <c r="I39" s="63"/>
    </row>
    <row r="40" customFormat="false" ht="15" hidden="false" customHeight="true" outlineLevel="0" collapsed="false">
      <c r="A40" s="66" t="s">
        <v>960</v>
      </c>
      <c r="B40" s="52" t="n">
        <f aca="false">C13</f>
        <v>627.5</v>
      </c>
      <c r="C40" s="10" t="s">
        <v>961</v>
      </c>
      <c r="D40" s="139" t="n">
        <f aca="false">Scenarios!I6</f>
        <v>1541.65831867811</v>
      </c>
      <c r="E40" s="82" t="n">
        <f aca="false">D40/B40-1</f>
        <v>1.45682600586153</v>
      </c>
      <c r="F40" s="63" t="str">
        <f aca="false">IF(D40&gt;B40,"Value created","Value destroyed - looks cheap but is not")</f>
        <v>Value created</v>
      </c>
      <c r="G40" s="63"/>
      <c r="H40" s="63"/>
      <c r="I40" s="63"/>
    </row>
    <row r="41" customFormat="false" ht="15" hidden="false" customHeight="true" outlineLevel="0" collapsed="false">
      <c r="A41" s="66" t="s">
        <v>962</v>
      </c>
      <c r="B41" s="52" t="n">
        <f aca="false">C14</f>
        <v>251</v>
      </c>
      <c r="C41" s="10" t="s">
        <v>963</v>
      </c>
      <c r="D41" s="139" t="n">
        <f aca="false">Scenarios!I7</f>
        <v>399.71553431651</v>
      </c>
      <c r="E41" s="82" t="n">
        <f aca="false">D41/B41-1</f>
        <v>0.592492168591675</v>
      </c>
      <c r="F41" s="63" t="str">
        <f aca="false">IF(D41&gt;B41,"Value created","Value destroyed - looks cheap but is not")</f>
        <v>Value created</v>
      </c>
      <c r="G41" s="63"/>
      <c r="H41" s="63"/>
      <c r="I41" s="63"/>
    </row>
    <row r="42" customFormat="false" ht="15.75" hidden="false" customHeight="true" outlineLevel="0" collapsed="false"/>
    <row r="43" customFormat="false" ht="16.5" hidden="false" customHeight="true" outlineLevel="0" collapsed="false">
      <c r="A43" s="14" t="s">
        <v>964</v>
      </c>
      <c r="B43" s="14"/>
      <c r="C43" s="14"/>
      <c r="D43" s="14"/>
      <c r="E43" s="14"/>
      <c r="F43" s="14"/>
      <c r="G43" s="14"/>
      <c r="H43" s="14"/>
      <c r="I43" s="14"/>
    </row>
    <row r="44" customFormat="false" ht="15.75" hidden="false" customHeight="true" outlineLevel="0" collapsed="false"/>
    <row r="45" customFormat="false" ht="16.5" hidden="false" customHeight="true" outlineLevel="0" collapsed="false">
      <c r="A45" s="24" t="s">
        <v>965</v>
      </c>
      <c r="B45" s="24"/>
      <c r="C45" s="24"/>
      <c r="D45" s="24"/>
      <c r="E45" s="24"/>
      <c r="F45" s="24"/>
      <c r="G45" s="24"/>
      <c r="H45" s="24"/>
      <c r="I45" s="24"/>
    </row>
    <row r="46" customFormat="false" ht="15" hidden="false" customHeight="true" outlineLevel="0" collapsed="false">
      <c r="A46" s="25" t="s">
        <v>922</v>
      </c>
      <c r="B46" s="25" t="s">
        <v>966</v>
      </c>
      <c r="C46" s="25" t="s">
        <v>929</v>
      </c>
      <c r="D46" s="25" t="s">
        <v>967</v>
      </c>
      <c r="E46" s="25" t="s">
        <v>968</v>
      </c>
      <c r="F46" s="25" t="s">
        <v>969</v>
      </c>
      <c r="G46" s="25"/>
      <c r="H46" s="25"/>
      <c r="I46" s="25"/>
    </row>
    <row r="47" customFormat="false" ht="15" hidden="false" customHeight="true" outlineLevel="0" collapsed="false">
      <c r="A47" s="63" t="str">
        <f aca="false">A12</f>
        <v>Shallow correction</v>
      </c>
      <c r="B47" s="45" t="n">
        <f aca="false">$B$7*D12</f>
        <v>10566.6666666667</v>
      </c>
      <c r="C47" s="49" t="n">
        <f aca="false">H12</f>
        <v>1</v>
      </c>
      <c r="D47" s="88" t="n">
        <f aca="false">B47*C47</f>
        <v>10566.6666666667</v>
      </c>
      <c r="E47" s="144" t="n">
        <f aca="false">D47/C12</f>
        <v>12.0280781635363</v>
      </c>
      <c r="F47" s="45" t="n">
        <f aca="false">B47-D47</f>
        <v>0</v>
      </c>
      <c r="G47" s="45"/>
      <c r="H47" s="45"/>
      <c r="I47" s="45"/>
    </row>
    <row r="48" customFormat="false" ht="15" hidden="false" customHeight="true" outlineLevel="0" collapsed="false">
      <c r="A48" s="147" t="s">
        <v>970</v>
      </c>
      <c r="B48" s="45" t="n">
        <f aca="false">$B$7*D13</f>
        <v>10566.6666666667</v>
      </c>
      <c r="C48" s="49" t="n">
        <f aca="false">H13</f>
        <v>0.5</v>
      </c>
      <c r="D48" s="88" t="n">
        <f aca="false">B48*C48</f>
        <v>5283.33333333333</v>
      </c>
      <c r="E48" s="144" t="n">
        <f aca="false">D48/C13</f>
        <v>8.41965471447542</v>
      </c>
      <c r="F48" s="45" t="n">
        <f aca="false">B48-D48</f>
        <v>5283.33333333333</v>
      </c>
      <c r="G48" s="45"/>
      <c r="H48" s="45"/>
      <c r="I48" s="45"/>
    </row>
    <row r="49" customFormat="false" ht="15" hidden="false" customHeight="true" outlineLevel="0" collapsed="false">
      <c r="A49" s="63" t="str">
        <f aca="false">A14</f>
        <v>Extreme (bear case realized)</v>
      </c>
      <c r="B49" s="45" t="n">
        <f aca="false">$B$7*D14</f>
        <v>10566.6666666667</v>
      </c>
      <c r="C49" s="49" t="n">
        <f aca="false">H14</f>
        <v>0.15</v>
      </c>
      <c r="D49" s="88" t="n">
        <f aca="false">B49*C49</f>
        <v>1585</v>
      </c>
      <c r="E49" s="144" t="n">
        <f aca="false">D49/C14</f>
        <v>6.31474103585657</v>
      </c>
      <c r="F49" s="45" t="n">
        <f aca="false">B49-D49</f>
        <v>8981.66666666666</v>
      </c>
      <c r="G49" s="45"/>
      <c r="H49" s="45"/>
      <c r="I49" s="45"/>
    </row>
    <row r="50" customFormat="false" ht="15" hidden="false" customHeight="true" outlineLevel="0" collapsed="false">
      <c r="A50" s="63" t="s">
        <v>933</v>
      </c>
      <c r="B50" s="148" t="n">
        <f aca="false">SUM(B47:B49)</f>
        <v>31700</v>
      </c>
      <c r="D50" s="148" t="n">
        <f aca="false">SUM(D47:D49)</f>
        <v>17435</v>
      </c>
      <c r="E50" s="146" t="n">
        <f aca="false">SUM(E47:E49)</f>
        <v>26.7624739138683</v>
      </c>
      <c r="F50" s="148" t="n">
        <f aca="false">SUM(F47:F49)</f>
        <v>14265</v>
      </c>
    </row>
    <row r="51" customFormat="false" ht="16.5" hidden="false" customHeight="true" outlineLevel="0" collapsed="false">
      <c r="A51" s="14" t="str">
        <f aca="false">"Of the planned budget of "&amp;TEXT(B50,"#,##0")&amp;", the probability-weighted expected deployment is "&amp;TEXT(D50,"#,##0")&amp;" million. The remaining "&amp;TEXT(F50,"#,##0")&amp;" goes undeployed because those bands are never reached."</f>
        <v>Of the planned budget of 31,700, the probability-weighted expected deployment is 17,435 million. The remaining 14,265 goes undeployed because those bands are never reached.</v>
      </c>
      <c r="B51" s="14"/>
      <c r="C51" s="14"/>
      <c r="D51" s="14"/>
      <c r="E51" s="14"/>
      <c r="F51" s="14"/>
      <c r="G51" s="14"/>
      <c r="H51" s="14"/>
      <c r="I51" s="14"/>
    </row>
    <row r="52" customFormat="false" ht="13.5" hidden="false" customHeight="true" outlineLevel="0" collapsed="false">
      <c r="A52" s="13" t="s">
        <v>971</v>
      </c>
      <c r="B52" s="13"/>
      <c r="C52" s="13"/>
      <c r="D52" s="13"/>
      <c r="E52" s="13"/>
      <c r="F52" s="13"/>
      <c r="G52" s="13"/>
      <c r="H52" s="13"/>
      <c r="I52" s="13"/>
    </row>
    <row r="53" customFormat="false" ht="13.5" hidden="false" customHeight="true" outlineLevel="0" collapsed="false">
      <c r="A53" s="13" t="s">
        <v>972</v>
      </c>
      <c r="B53" s="13"/>
      <c r="C53" s="13"/>
      <c r="D53" s="13"/>
      <c r="E53" s="13"/>
      <c r="F53" s="13"/>
      <c r="G53" s="13"/>
      <c r="H53" s="13"/>
      <c r="I53" s="13"/>
    </row>
    <row r="54" customFormat="false" ht="15.75" hidden="false" customHeight="true" outlineLevel="0" collapsed="false"/>
    <row r="55" customFormat="false" ht="16.5" hidden="false" customHeight="true" outlineLevel="0" collapsed="false">
      <c r="A55" s="24" t="s">
        <v>973</v>
      </c>
      <c r="B55" s="24"/>
      <c r="C55" s="24"/>
      <c r="D55" s="24"/>
      <c r="E55" s="24"/>
      <c r="F55" s="24"/>
      <c r="G55" s="24"/>
      <c r="H55" s="24"/>
      <c r="I55" s="24"/>
    </row>
    <row r="56" customFormat="false" ht="24" hidden="false" customHeight="true" outlineLevel="0" collapsed="false">
      <c r="A56" s="36" t="s">
        <v>974</v>
      </c>
      <c r="B56" s="36"/>
      <c r="C56" s="36"/>
      <c r="D56" s="36"/>
      <c r="E56" s="36"/>
      <c r="F56" s="36"/>
      <c r="G56" s="36"/>
      <c r="H56" s="36"/>
      <c r="I56" s="36"/>
    </row>
    <row r="57" customFormat="false" ht="24" hidden="false" customHeight="true" outlineLevel="0" collapsed="false">
      <c r="A57" s="37" t="s">
        <v>975</v>
      </c>
      <c r="B57" s="37"/>
      <c r="C57" s="37"/>
      <c r="D57" s="37"/>
      <c r="E57" s="37"/>
      <c r="F57" s="37"/>
      <c r="G57" s="37"/>
      <c r="H57" s="37"/>
      <c r="I57" s="37"/>
    </row>
    <row r="58" customFormat="false" ht="24" hidden="false" customHeight="true" outlineLevel="0" collapsed="false">
      <c r="A58" s="36" t="s">
        <v>976</v>
      </c>
      <c r="B58" s="36"/>
      <c r="C58" s="36"/>
      <c r="D58" s="36"/>
      <c r="E58" s="36"/>
      <c r="F58" s="36"/>
      <c r="G58" s="36"/>
      <c r="H58" s="36"/>
      <c r="I58" s="36"/>
    </row>
    <row r="59" customFormat="false" ht="24" hidden="false" customHeight="true" outlineLevel="0" collapsed="false">
      <c r="A59" s="36" t="s">
        <v>977</v>
      </c>
      <c r="B59" s="36"/>
      <c r="C59" s="36"/>
      <c r="D59" s="36"/>
      <c r="E59" s="36"/>
      <c r="F59" s="36"/>
      <c r="G59" s="36"/>
      <c r="H59" s="36"/>
      <c r="I59" s="36"/>
    </row>
    <row r="60" customFormat="false" ht="24" hidden="false" customHeight="true" outlineLevel="0" collapsed="false">
      <c r="A60" s="36" t="s">
        <v>978</v>
      </c>
      <c r="B60" s="36"/>
      <c r="C60" s="36"/>
      <c r="D60" s="36"/>
      <c r="E60" s="36"/>
      <c r="F60" s="36"/>
      <c r="G60" s="36"/>
      <c r="H60" s="36"/>
      <c r="I60" s="36"/>
    </row>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mergeCells count="36">
    <mergeCell ref="A1:I1"/>
    <mergeCell ref="A3:I3"/>
    <mergeCell ref="C4:I4"/>
    <mergeCell ref="C5:I5"/>
    <mergeCell ref="C6:I6"/>
    <mergeCell ref="C7:I7"/>
    <mergeCell ref="C8:I8"/>
    <mergeCell ref="A10:I10"/>
    <mergeCell ref="A17:I17"/>
    <mergeCell ref="A18:I18"/>
    <mergeCell ref="A24:I24"/>
    <mergeCell ref="A26:I26"/>
    <mergeCell ref="A27:I27"/>
    <mergeCell ref="A33:I33"/>
    <mergeCell ref="A34:I34"/>
    <mergeCell ref="A35:I35"/>
    <mergeCell ref="A36:I36"/>
    <mergeCell ref="F38:I38"/>
    <mergeCell ref="F39:I39"/>
    <mergeCell ref="F40:I40"/>
    <mergeCell ref="F41:I41"/>
    <mergeCell ref="A43:I43"/>
    <mergeCell ref="A45:I45"/>
    <mergeCell ref="F46:I46"/>
    <mergeCell ref="F47:I47"/>
    <mergeCell ref="F48:I48"/>
    <mergeCell ref="F49:I49"/>
    <mergeCell ref="A51:I51"/>
    <mergeCell ref="A52:I52"/>
    <mergeCell ref="A53:I53"/>
    <mergeCell ref="A55:I55"/>
    <mergeCell ref="A56:I56"/>
    <mergeCell ref="A57:I57"/>
    <mergeCell ref="A58:I58"/>
    <mergeCell ref="A59:I59"/>
    <mergeCell ref="A60:I6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B4" activeCellId="0" sqref="B4"/>
    </sheetView>
  </sheetViews>
  <sheetFormatPr defaultColWidth="12.62890625" defaultRowHeight="15" customHeight="true" zeroHeight="false" outlineLevelRow="0" outlineLevelCol="0"/>
  <cols>
    <col collapsed="false" customWidth="true" hidden="false" outlineLevel="0" max="1" min="1" style="1" width="30"/>
    <col collapsed="false" customWidth="true" hidden="false" outlineLevel="0" max="9" min="2" style="1" width="15"/>
    <col collapsed="false" customWidth="true" hidden="false" outlineLevel="0" max="26" min="10" style="1" width="8.5"/>
  </cols>
  <sheetData>
    <row r="1" customFormat="false" ht="24" hidden="false" customHeight="true" outlineLevel="0" collapsed="false">
      <c r="A1" s="2" t="s">
        <v>979</v>
      </c>
      <c r="B1" s="2"/>
      <c r="C1" s="2"/>
      <c r="D1" s="2"/>
      <c r="E1" s="2"/>
      <c r="F1" s="2"/>
      <c r="G1" s="2"/>
      <c r="H1" s="2"/>
    </row>
    <row r="2" customFormat="false" ht="13.5" hidden="false" customHeight="true" outlineLevel="0" collapsed="false">
      <c r="A2" s="57" t="s">
        <v>980</v>
      </c>
      <c r="B2" s="57"/>
      <c r="C2" s="57"/>
      <c r="D2" s="57"/>
      <c r="E2" s="57"/>
      <c r="F2" s="57"/>
      <c r="G2" s="57"/>
      <c r="H2" s="57"/>
    </row>
    <row r="4" customFormat="false" ht="16.5" hidden="false" customHeight="true" outlineLevel="0" collapsed="false">
      <c r="A4" s="24" t="s">
        <v>981</v>
      </c>
      <c r="B4" s="24"/>
      <c r="C4" s="24"/>
      <c r="D4" s="24"/>
      <c r="E4" s="24"/>
      <c r="F4" s="24"/>
      <c r="G4" s="24"/>
      <c r="H4" s="24"/>
    </row>
    <row r="5" customFormat="false" ht="15" hidden="false" customHeight="true" outlineLevel="0" collapsed="false">
      <c r="A5" s="63" t="s">
        <v>187</v>
      </c>
      <c r="B5" s="53" t="n">
        <f aca="false">Assumptions!B5</f>
        <v>900</v>
      </c>
      <c r="C5" s="44" t="s">
        <v>982</v>
      </c>
      <c r="D5" s="44"/>
      <c r="E5" s="44"/>
      <c r="F5" s="44"/>
      <c r="G5" s="44"/>
      <c r="H5" s="44"/>
    </row>
    <row r="6" customFormat="false" ht="15" hidden="false" customHeight="true" outlineLevel="0" collapsed="false">
      <c r="A6" s="66" t="s">
        <v>983</v>
      </c>
      <c r="B6" s="53" t="n">
        <f aca="false">Consensus!C24</f>
        <v>48.4</v>
      </c>
      <c r="C6" s="41" t="s">
        <v>984</v>
      </c>
      <c r="D6" s="41"/>
      <c r="E6" s="41"/>
      <c r="F6" s="41"/>
      <c r="G6" s="41"/>
      <c r="H6" s="41"/>
    </row>
    <row r="7" customFormat="false" ht="15" hidden="false" customHeight="true" outlineLevel="0" collapsed="false">
      <c r="A7" s="66" t="s">
        <v>985</v>
      </c>
      <c r="B7" s="121" t="n">
        <f aca="false">DiscountRate!D26</f>
        <v>0.120021665430103</v>
      </c>
      <c r="C7" s="41" t="s">
        <v>986</v>
      </c>
      <c r="D7" s="41"/>
      <c r="E7" s="41"/>
      <c r="F7" s="41"/>
      <c r="G7" s="41"/>
      <c r="H7" s="41"/>
    </row>
    <row r="8" customFormat="false" ht="15" hidden="false" customHeight="true" outlineLevel="0" collapsed="false">
      <c r="A8" s="66" t="s">
        <v>987</v>
      </c>
      <c r="B8" s="121" t="n">
        <f aca="false">DiscountRate!D27</f>
        <v>0.170003455644791</v>
      </c>
      <c r="C8" s="41" t="s">
        <v>988</v>
      </c>
      <c r="D8" s="41"/>
      <c r="E8" s="41"/>
      <c r="F8" s="41"/>
      <c r="G8" s="41"/>
      <c r="H8" s="41"/>
    </row>
    <row r="9" customFormat="false" ht="15" hidden="false" customHeight="true" outlineLevel="0" collapsed="false">
      <c r="A9" s="63" t="s">
        <v>989</v>
      </c>
      <c r="B9" s="121" t="n">
        <f aca="false">DiscountRate!D28</f>
        <v>0.160003455644791</v>
      </c>
      <c r="C9" s="41" t="s">
        <v>990</v>
      </c>
      <c r="D9" s="41"/>
      <c r="E9" s="41"/>
      <c r="F9" s="41"/>
      <c r="G9" s="41"/>
      <c r="H9" s="41"/>
    </row>
    <row r="10" customFormat="false" ht="15" hidden="false" customHeight="true" outlineLevel="0" collapsed="false">
      <c r="A10" s="63" t="s">
        <v>991</v>
      </c>
      <c r="B10" s="121" t="n">
        <f aca="false">TerminalROE!B27</f>
        <v>0.252776731339235</v>
      </c>
      <c r="C10" s="41" t="s">
        <v>992</v>
      </c>
      <c r="D10" s="41"/>
      <c r="E10" s="41"/>
      <c r="F10" s="41"/>
      <c r="G10" s="41"/>
      <c r="H10" s="41"/>
    </row>
    <row r="11" customFormat="false" ht="15" hidden="false" customHeight="true" outlineLevel="0" collapsed="false">
      <c r="A11" s="63" t="s">
        <v>993</v>
      </c>
      <c r="B11" s="47" t="n">
        <v>0.04</v>
      </c>
      <c r="C11" s="41" t="s">
        <v>994</v>
      </c>
      <c r="D11" s="41"/>
      <c r="E11" s="41"/>
      <c r="F11" s="41"/>
      <c r="G11" s="41"/>
      <c r="H11" s="41"/>
    </row>
    <row r="12" customFormat="false" ht="16.5" hidden="false" customHeight="true" outlineLevel="0" collapsed="false">
      <c r="A12" s="14" t="str">
        <f aca="false">IF(B9&lt;=B11,"Error: terminal discount rate is not above the growth rate","OK - terminal discount rate exceeds growth rate")</f>
        <v>OK - terminal discount rate exceeds growth rate</v>
      </c>
      <c r="B12" s="14"/>
      <c r="C12" s="14"/>
      <c r="D12" s="14"/>
      <c r="E12" s="14"/>
      <c r="F12" s="14"/>
      <c r="G12" s="14"/>
      <c r="H12" s="14"/>
    </row>
    <row r="14" customFormat="false" ht="16.5" hidden="false" customHeight="true" outlineLevel="0" collapsed="false">
      <c r="A14" s="24" t="s">
        <v>995</v>
      </c>
      <c r="B14" s="24"/>
      <c r="C14" s="24"/>
      <c r="D14" s="24"/>
      <c r="E14" s="24"/>
      <c r="F14" s="24"/>
      <c r="G14" s="24"/>
      <c r="H14" s="24"/>
    </row>
    <row r="15" customFormat="false" ht="15" hidden="false" customHeight="true" outlineLevel="0" collapsed="false">
      <c r="A15" s="61" t="s">
        <v>182</v>
      </c>
      <c r="B15" s="62" t="s">
        <v>474</v>
      </c>
      <c r="C15" s="62" t="s">
        <v>475</v>
      </c>
      <c r="D15" s="62" t="s">
        <v>476</v>
      </c>
      <c r="E15" s="62" t="s">
        <v>477</v>
      </c>
    </row>
    <row r="16" customFormat="false" ht="15" hidden="false" customHeight="true" outlineLevel="0" collapsed="false">
      <c r="A16" s="10" t="s">
        <v>996</v>
      </c>
      <c r="B16" s="52" t="n">
        <f aca="false">$B$6</f>
        <v>48.4</v>
      </c>
      <c r="C16" s="52" t="n">
        <f aca="false">B23</f>
        <v>118.72</v>
      </c>
      <c r="D16" s="52" t="n">
        <f aca="false">C23</f>
        <v>259.02</v>
      </c>
      <c r="E16" s="52" t="n">
        <f aca="false">D23</f>
        <v>437.94</v>
      </c>
    </row>
    <row r="17" customFormat="false" ht="15" hidden="false" customHeight="true" outlineLevel="0" collapsed="false">
      <c r="A17" s="50" t="s">
        <v>526</v>
      </c>
      <c r="B17" s="53" t="n">
        <f aca="false">Consensus!D18</f>
        <v>73.13</v>
      </c>
      <c r="C17" s="53" t="n">
        <f aca="false">Consensus!E18</f>
        <v>154.66</v>
      </c>
      <c r="D17" s="53" t="n">
        <f aca="false">Consensus!F18</f>
        <v>170.38</v>
      </c>
      <c r="E17" s="53" t="n">
        <f aca="false">Consensus!G18</f>
        <v>141.59</v>
      </c>
    </row>
    <row r="18" customFormat="false" ht="15" hidden="false" customHeight="true" outlineLevel="0" collapsed="false">
      <c r="A18" s="10" t="s">
        <v>997</v>
      </c>
      <c r="B18" s="49" t="n">
        <f aca="false">$B$7</f>
        <v>0.120021665430103</v>
      </c>
      <c r="C18" s="49" t="n">
        <f aca="false">$B$7</f>
        <v>0.120021665430103</v>
      </c>
      <c r="D18" s="49" t="n">
        <f aca="false">$B$7</f>
        <v>0.120021665430103</v>
      </c>
      <c r="E18" s="49" t="n">
        <f aca="false">$B$8</f>
        <v>0.170003455644791</v>
      </c>
    </row>
    <row r="19" customFormat="false" ht="15" hidden="false" customHeight="true" outlineLevel="0" collapsed="false">
      <c r="A19" s="10" t="s">
        <v>998</v>
      </c>
      <c r="B19" s="52" t="n">
        <f aca="false">B16*B18</f>
        <v>5.80904860681696</v>
      </c>
      <c r="C19" s="52" t="n">
        <f aca="false">C16*C18</f>
        <v>14.2489721198618</v>
      </c>
      <c r="D19" s="52" t="n">
        <f aca="false">D16*D18</f>
        <v>31.0880117797051</v>
      </c>
      <c r="E19" s="52" t="n">
        <f aca="false">E16*E18</f>
        <v>74.4513133650797</v>
      </c>
    </row>
    <row r="20" customFormat="false" ht="15" hidden="false" customHeight="true" outlineLevel="0" collapsed="false">
      <c r="A20" s="63" t="s">
        <v>999</v>
      </c>
      <c r="B20" s="81" t="n">
        <f aca="false">B17-B19</f>
        <v>67.320951393183</v>
      </c>
      <c r="C20" s="81" t="n">
        <f aca="false">C17-C19</f>
        <v>140.411027880138</v>
      </c>
      <c r="D20" s="81" t="n">
        <f aca="false">D17-D19</f>
        <v>139.291988220295</v>
      </c>
      <c r="E20" s="81" t="n">
        <f aca="false">E17-E19</f>
        <v>67.1386866349204</v>
      </c>
    </row>
    <row r="21" customFormat="false" ht="15" hidden="false" customHeight="true" outlineLevel="0" collapsed="false">
      <c r="A21" s="10" t="s">
        <v>1000</v>
      </c>
      <c r="B21" s="149" t="n">
        <f aca="false">1/(1+B18)</f>
        <v>0.892839871643007</v>
      </c>
      <c r="C21" s="149" t="n">
        <f aca="false">B21/(1+C18)</f>
        <v>0.797163036395502</v>
      </c>
      <c r="D21" s="149" t="n">
        <f aca="false">C21/(1+D18)</f>
        <v>0.71173894309391</v>
      </c>
      <c r="E21" s="149" t="n">
        <f aca="false">D21/(1+E18)</f>
        <v>0.608322086281078</v>
      </c>
    </row>
    <row r="22" customFormat="false" ht="15" hidden="false" customHeight="true" outlineLevel="0" collapsed="false">
      <c r="A22" s="66" t="s">
        <v>1001</v>
      </c>
      <c r="B22" s="81" t="n">
        <f aca="false">B20*B21</f>
        <v>60.1068296007747</v>
      </c>
      <c r="C22" s="81" t="n">
        <f aca="false">C20*C21</f>
        <v>111.930481328344</v>
      </c>
      <c r="D22" s="81" t="n">
        <f aca="false">D20*D21</f>
        <v>99.139532477362</v>
      </c>
      <c r="E22" s="81" t="n">
        <f aca="false">E20*E21</f>
        <v>40.8419459239263</v>
      </c>
    </row>
    <row r="23" customFormat="false" ht="15" hidden="false" customHeight="true" outlineLevel="0" collapsed="false">
      <c r="A23" s="10" t="s">
        <v>1002</v>
      </c>
      <c r="B23" s="53" t="n">
        <f aca="false">Consensus!D24</f>
        <v>118.72</v>
      </c>
      <c r="C23" s="53" t="n">
        <f aca="false">Consensus!E24</f>
        <v>259.02</v>
      </c>
      <c r="D23" s="53" t="n">
        <f aca="false">Consensus!F24</f>
        <v>437.94</v>
      </c>
      <c r="E23" s="53" t="n">
        <f aca="false">Consensus!G24</f>
        <v>643.7</v>
      </c>
    </row>
    <row r="24" customFormat="false" ht="15.75" hidden="false" customHeight="true" outlineLevel="0" collapsed="false"/>
    <row r="25" customFormat="false" ht="16.5" hidden="false" customHeight="true" outlineLevel="0" collapsed="false">
      <c r="A25" s="24" t="s">
        <v>1003</v>
      </c>
      <c r="B25" s="24"/>
      <c r="C25" s="24"/>
      <c r="D25" s="24"/>
      <c r="E25" s="24"/>
      <c r="F25" s="24"/>
      <c r="G25" s="24"/>
      <c r="H25" s="24"/>
    </row>
    <row r="26" customFormat="false" ht="15" hidden="false" customHeight="true" outlineLevel="0" collapsed="false">
      <c r="A26" s="50" t="s">
        <v>1004</v>
      </c>
      <c r="B26" s="52" t="n">
        <f aca="false">B6</f>
        <v>48.4</v>
      </c>
      <c r="C26" s="41" t="s">
        <v>1005</v>
      </c>
      <c r="D26" s="41"/>
      <c r="E26" s="41"/>
      <c r="F26" s="41"/>
      <c r="G26" s="41"/>
      <c r="H26" s="41"/>
    </row>
    <row r="27" customFormat="false" ht="15" hidden="false" customHeight="true" outlineLevel="0" collapsed="false">
      <c r="A27" s="50" t="s">
        <v>1006</v>
      </c>
      <c r="B27" s="52" t="n">
        <f aca="false">SUM(B22:E22)</f>
        <v>312.018789330407</v>
      </c>
      <c r="C27" s="44" t="s">
        <v>1007</v>
      </c>
      <c r="D27" s="44"/>
      <c r="E27" s="44"/>
      <c r="F27" s="44"/>
      <c r="G27" s="44"/>
      <c r="H27" s="44"/>
    </row>
    <row r="28" customFormat="false" ht="15" hidden="false" customHeight="true" outlineLevel="0" collapsed="false">
      <c r="A28" s="10" t="s">
        <v>1008</v>
      </c>
      <c r="B28" s="52" t="n">
        <f aca="false">($B$10-$B$9)*E23</f>
        <v>59.7181575645141</v>
      </c>
      <c r="C28" s="44" t="s">
        <v>1009</v>
      </c>
      <c r="D28" s="44"/>
      <c r="E28" s="44"/>
      <c r="F28" s="44"/>
      <c r="G28" s="44"/>
      <c r="H28" s="44"/>
    </row>
    <row r="29" customFormat="false" ht="15" hidden="false" customHeight="true" outlineLevel="0" collapsed="false">
      <c r="A29" s="10" t="s">
        <v>1010</v>
      </c>
      <c r="B29" s="52" t="n">
        <f aca="false">IF($B$9&lt;=$B$11,"Error",B28/($B$9-$B$11))</f>
        <v>497.636982565563</v>
      </c>
      <c r="C29" s="41" t="s">
        <v>1011</v>
      </c>
      <c r="D29" s="41"/>
      <c r="E29" s="41"/>
      <c r="F29" s="41"/>
      <c r="G29" s="41"/>
      <c r="H29" s="41"/>
    </row>
    <row r="30" customFormat="false" ht="15" hidden="false" customHeight="true" outlineLevel="0" collapsed="false">
      <c r="A30" s="50" t="s">
        <v>1012</v>
      </c>
      <c r="B30" s="52" t="n">
        <f aca="false">B29*E21</f>
        <v>302.723567444904</v>
      </c>
      <c r="C30" s="44" t="s">
        <v>1013</v>
      </c>
      <c r="D30" s="44"/>
      <c r="E30" s="44"/>
      <c r="F30" s="44"/>
      <c r="G30" s="44"/>
      <c r="H30" s="44"/>
    </row>
    <row r="31" customFormat="false" ht="15" hidden="false" customHeight="true" outlineLevel="0" collapsed="false">
      <c r="A31" s="63" t="s">
        <v>1014</v>
      </c>
      <c r="B31" s="96" t="n">
        <f aca="false">B26+B27+B30</f>
        <v>663.142356775311</v>
      </c>
      <c r="C31" s="41" t="s">
        <v>1015</v>
      </c>
      <c r="D31" s="41"/>
      <c r="E31" s="41"/>
      <c r="F31" s="41"/>
      <c r="G31" s="41"/>
      <c r="H31" s="41"/>
    </row>
    <row r="32" customFormat="false" ht="15" hidden="false" customHeight="true" outlineLevel="0" collapsed="false">
      <c r="A32" s="10" t="s">
        <v>187</v>
      </c>
      <c r="B32" s="52" t="n">
        <f aca="false">B5</f>
        <v>900</v>
      </c>
      <c r="C32" s="41"/>
      <c r="D32" s="41"/>
      <c r="E32" s="41"/>
      <c r="F32" s="41"/>
      <c r="G32" s="41"/>
      <c r="H32" s="41"/>
    </row>
    <row r="33" customFormat="false" ht="15" hidden="false" customHeight="true" outlineLevel="0" collapsed="false">
      <c r="A33" s="63" t="s">
        <v>1016</v>
      </c>
      <c r="B33" s="82" t="n">
        <f aca="false">B31/B32-1</f>
        <v>-0.263175159138543</v>
      </c>
      <c r="C33" s="41" t="s">
        <v>1017</v>
      </c>
      <c r="D33" s="41"/>
      <c r="E33" s="41"/>
      <c r="F33" s="41"/>
      <c r="G33" s="41"/>
      <c r="H33" s="41"/>
    </row>
    <row r="34" customFormat="false" ht="15.75" hidden="false" customHeight="true" outlineLevel="0" collapsed="false"/>
    <row r="35" customFormat="false" ht="16.5" hidden="false" customHeight="true" outlineLevel="0" collapsed="false">
      <c r="A35" s="24" t="s">
        <v>1018</v>
      </c>
      <c r="B35" s="24"/>
      <c r="C35" s="24"/>
      <c r="D35" s="24"/>
      <c r="E35" s="24"/>
      <c r="F35" s="24"/>
      <c r="G35" s="24"/>
      <c r="H35" s="24"/>
    </row>
    <row r="36" customFormat="false" ht="13.5" hidden="false" customHeight="true" outlineLevel="0" collapsed="false">
      <c r="A36" s="13" t="s">
        <v>1019</v>
      </c>
      <c r="B36" s="13"/>
      <c r="C36" s="13"/>
      <c r="D36" s="13"/>
      <c r="E36" s="13"/>
      <c r="F36" s="13"/>
      <c r="G36" s="13"/>
      <c r="H36" s="13"/>
    </row>
    <row r="37" customFormat="false" ht="25.5" hidden="false" customHeight="true" outlineLevel="0" collapsed="false">
      <c r="A37" s="27" t="s">
        <v>1020</v>
      </c>
      <c r="B37" s="96" t="n">
        <f aca="false">PB_ROE_Model!B13</f>
        <v>1094.85</v>
      </c>
      <c r="C37" s="44" t="s">
        <v>1021</v>
      </c>
      <c r="D37" s="44"/>
      <c r="E37" s="44"/>
      <c r="F37" s="44"/>
      <c r="G37" s="44"/>
      <c r="H37" s="44"/>
    </row>
    <row r="38" customFormat="false" ht="25.5" hidden="false" customHeight="true" outlineLevel="0" collapsed="false">
      <c r="A38" s="33" t="s">
        <v>1022</v>
      </c>
      <c r="B38" s="96" t="n">
        <f aca="false">B37/(1+B7)^3</f>
        <v>779.247381846367</v>
      </c>
      <c r="C38" s="44" t="s">
        <v>1023</v>
      </c>
      <c r="D38" s="44"/>
      <c r="E38" s="44"/>
      <c r="F38" s="44"/>
      <c r="G38" s="44"/>
      <c r="H38" s="44"/>
    </row>
    <row r="39" customFormat="false" ht="25.5" hidden="false" customHeight="true" outlineLevel="0" collapsed="false">
      <c r="A39" s="33" t="s">
        <v>1024</v>
      </c>
      <c r="B39" s="96" t="n">
        <f aca="false">B5*(1+B7)^3</f>
        <v>1264.50857963135</v>
      </c>
      <c r="C39" s="41" t="s">
        <v>1025</v>
      </c>
      <c r="D39" s="41"/>
      <c r="E39" s="41"/>
      <c r="F39" s="41"/>
      <c r="G39" s="41"/>
      <c r="H39" s="41"/>
    </row>
    <row r="40" customFormat="false" ht="25.5" hidden="false" customHeight="true" outlineLevel="0" collapsed="false">
      <c r="A40" s="33" t="s">
        <v>1026</v>
      </c>
      <c r="B40" s="82" t="n">
        <f aca="false">(B37/B5)^(1/3)-1</f>
        <v>0.0675069333921425</v>
      </c>
      <c r="C40" s="41" t="s">
        <v>1027</v>
      </c>
      <c r="D40" s="41"/>
      <c r="E40" s="41"/>
      <c r="F40" s="41"/>
      <c r="G40" s="41"/>
      <c r="H40" s="41"/>
    </row>
    <row r="41" customFormat="false" ht="16.5" hidden="false" customHeight="true" outlineLevel="0" collapsed="false">
      <c r="A41" s="14" t="str">
        <f aca="false">IF(B40&lt;B7,"Warning: the annualized return ("&amp;TEXT(B40,"0.0%")&amp;") is below the required return ("&amp;TEXT(B7,"0.0%")&amp;") - the PB model value does not justify the current price","OK - the annualized return exceeds the required return")</f>
        <v>Warning: the annualized return (6.8%) is below the required return (12.0%) - the PB model value does not justify the current price</v>
      </c>
      <c r="B41" s="14"/>
      <c r="C41" s="14"/>
      <c r="D41" s="14"/>
      <c r="E41" s="14"/>
      <c r="F41" s="14"/>
      <c r="G41" s="14"/>
      <c r="H41" s="14"/>
    </row>
    <row r="42" customFormat="false" ht="15.75" hidden="false" customHeight="true" outlineLevel="0" collapsed="false"/>
    <row r="43" customFormat="false" ht="16.5" hidden="false" customHeight="true" outlineLevel="0" collapsed="false">
      <c r="A43" s="24" t="s">
        <v>1028</v>
      </c>
      <c r="B43" s="24"/>
      <c r="C43" s="24"/>
      <c r="D43" s="24"/>
      <c r="E43" s="24"/>
      <c r="F43" s="24"/>
      <c r="G43" s="24"/>
      <c r="H43" s="24"/>
    </row>
    <row r="44" customFormat="false" ht="15" hidden="false" customHeight="true" outlineLevel="0" collapsed="false">
      <c r="A44" s="38" t="s">
        <v>1029</v>
      </c>
      <c r="B44" s="84" t="n">
        <v>0.12</v>
      </c>
      <c r="C44" s="84" t="n">
        <v>0.14</v>
      </c>
      <c r="D44" s="84" t="n">
        <v>0.16</v>
      </c>
      <c r="E44" s="84" t="n">
        <v>0.18</v>
      </c>
      <c r="F44" s="84" t="n">
        <v>0.2</v>
      </c>
    </row>
    <row r="45" customFormat="false" ht="15" hidden="false" customHeight="true" outlineLevel="0" collapsed="false">
      <c r="A45" s="84" t="n">
        <v>0.1</v>
      </c>
      <c r="B45" s="85" t="n">
        <f aca="false">IF(B$44&lt;=$B$11,"n/a",$B$26+$B$27+(($A45-B$44)*$E$23/(B$44-$B$11))*$E$21)</f>
        <v>262.524557595625</v>
      </c>
      <c r="C45" s="85" t="n">
        <f aca="false">IF(C$44&lt;=$B$11,"n/a",$B$26+$B$27+(($A45-C$44)*$E$23/(C$44-$B$11))*$E$21)</f>
        <v>203.788018554755</v>
      </c>
      <c r="D45" s="85" t="n">
        <f aca="false">IF(D$44&lt;=$B$11,"n/a",$B$26+$B$27+(($A45-D$44)*$E$23/(D$44-$B$11))*$E$21)</f>
        <v>164.630325860842</v>
      </c>
      <c r="E45" s="85" t="n">
        <f aca="false">IF(E$44&lt;=$B$11,"n/a",$B$26+$B$27+(($A45-E$44)*$E$23/(E$44-$B$11))*$E$21)</f>
        <v>136.66054536519</v>
      </c>
      <c r="F45" s="85" t="n">
        <f aca="false">IF(F$44&lt;=$B$11,"n/a",$B$26+$B$27+(($A45-F$44)*$E$23/(F$44-$B$11))*$E$21)</f>
        <v>115.683209993451</v>
      </c>
    </row>
    <row r="46" customFormat="false" ht="15" hidden="false" customHeight="true" outlineLevel="0" collapsed="false">
      <c r="A46" s="84" t="n">
        <v>0.15</v>
      </c>
      <c r="B46" s="85" t="n">
        <f aca="false">IF(B$44&lt;=$B$11,"n/a",$B$26+$B$27+(($A46-B$44)*$E$23/(B$44-$B$11))*$E$21)</f>
        <v>507.260136932581</v>
      </c>
      <c r="C46" s="85" t="n">
        <f aca="false">IF(C$44&lt;=$B$11,"n/a",$B$26+$B$27+(($A46-C$44)*$E$23/(C$44-$B$11))*$E$21)</f>
        <v>399.57648202432</v>
      </c>
      <c r="D46" s="85" t="n">
        <f aca="false">IF(D$44&lt;=$B$11,"n/a",$B$26+$B$27+(($A46-D$44)*$E$23/(D$44-$B$11))*$E$21)</f>
        <v>327.787378752147</v>
      </c>
      <c r="E46" s="85" t="n">
        <f aca="false">IF(E$44&lt;=$B$11,"n/a",$B$26+$B$27+(($A46-E$44)*$E$23/(E$44-$B$11))*$E$21)</f>
        <v>276.509447843451</v>
      </c>
      <c r="F46" s="85" t="n">
        <f aca="false">IF(F$44&lt;=$B$11,"n/a",$B$26+$B$27+(($A46-F$44)*$E$23/(F$44-$B$11))*$E$21)</f>
        <v>238.050999661929</v>
      </c>
    </row>
    <row r="47" customFormat="false" ht="15" hidden="false" customHeight="true" outlineLevel="0" collapsed="false">
      <c r="A47" s="84" t="n">
        <v>0.2</v>
      </c>
      <c r="B47" s="85" t="n">
        <f aca="false">IF(B$44&lt;=$B$11,"n/a",$B$26+$B$27+(($A47-B$44)*$E$23/(B$44-$B$11))*$E$21)</f>
        <v>751.995716269537</v>
      </c>
      <c r="C47" s="85" t="n">
        <f aca="false">IF(C$44&lt;=$B$11,"n/a",$B$26+$B$27+(($A47-C$44)*$E$23/(C$44-$B$11))*$E$21)</f>
        <v>595.364945493885</v>
      </c>
      <c r="D47" s="85" t="n">
        <f aca="false">IF(D$44&lt;=$B$11,"n/a",$B$26+$B$27+(($A47-D$44)*$E$23/(D$44-$B$11))*$E$21)</f>
        <v>490.944431643451</v>
      </c>
      <c r="E47" s="85" t="n">
        <f aca="false">IF(E$44&lt;=$B$11,"n/a",$B$26+$B$27+(($A47-E$44)*$E$23/(E$44-$B$11))*$E$21)</f>
        <v>416.358350321712</v>
      </c>
      <c r="F47" s="85" t="n">
        <f aca="false">IF(F$44&lt;=$B$11,"n/a",$B$26+$B$27+(($A47-F$44)*$E$23/(F$44-$B$11))*$E$21)</f>
        <v>360.418789330407</v>
      </c>
    </row>
    <row r="48" customFormat="false" ht="15" hidden="false" customHeight="true" outlineLevel="0" collapsed="false">
      <c r="A48" s="84" t="n">
        <v>0.25</v>
      </c>
      <c r="B48" s="85" t="n">
        <f aca="false">IF(B$44&lt;=$B$11,"n/a",$B$26+$B$27+(($A48-B$44)*$E$23/(B$44-$B$11))*$E$21)</f>
        <v>996.731295606494</v>
      </c>
      <c r="C48" s="85" t="n">
        <f aca="false">IF(C$44&lt;=$B$11,"n/a",$B$26+$B$27+(($A48-C$44)*$E$23/(C$44-$B$11))*$E$21)</f>
        <v>791.15340896345</v>
      </c>
      <c r="D48" s="85" t="n">
        <f aca="false">IF(D$44&lt;=$B$11,"n/a",$B$26+$B$27+(($A48-D$44)*$E$23/(D$44-$B$11))*$E$21)</f>
        <v>654.101484534755</v>
      </c>
      <c r="E48" s="85" t="n">
        <f aca="false">IF(E$44&lt;=$B$11,"n/a",$B$26+$B$27+(($A48-E$44)*$E$23/(E$44-$B$11))*$E$21)</f>
        <v>556.207252799972</v>
      </c>
      <c r="F48" s="85" t="n">
        <f aca="false">IF(F$44&lt;=$B$11,"n/a",$B$26+$B$27+(($A48-F$44)*$E$23/(F$44-$B$11))*$E$21)</f>
        <v>482.786578998885</v>
      </c>
    </row>
    <row r="49" customFormat="false" ht="15" hidden="false" customHeight="true" outlineLevel="0" collapsed="false">
      <c r="A49" s="84" t="n">
        <v>0.3</v>
      </c>
      <c r="B49" s="85" t="n">
        <f aca="false">IF(B$44&lt;=$B$11,"n/a",$B$26+$B$27+(($A49-B$44)*$E$23/(B$44-$B$11))*$E$21)</f>
        <v>1241.46687494345</v>
      </c>
      <c r="C49" s="85" t="n">
        <f aca="false">IF(C$44&lt;=$B$11,"n/a",$B$26+$B$27+(($A49-C$44)*$E$23/(C$44-$B$11))*$E$21)</f>
        <v>986.941872433015</v>
      </c>
      <c r="D49" s="85" t="n">
        <f aca="false">IF(D$44&lt;=$B$11,"n/a",$B$26+$B$27+(($A49-D$44)*$E$23/(D$44-$B$11))*$E$21)</f>
        <v>817.258537426059</v>
      </c>
      <c r="E49" s="85" t="n">
        <f aca="false">IF(E$44&lt;=$B$11,"n/a",$B$26+$B$27+(($A49-E$44)*$E$23/(E$44-$B$11))*$E$21)</f>
        <v>696.056155278233</v>
      </c>
      <c r="F49" s="85" t="n">
        <f aca="false">IF(F$44&lt;=$B$11,"n/a",$B$26+$B$27+(($A49-F$44)*$E$23/(F$44-$B$11))*$E$21)</f>
        <v>605.154368667364</v>
      </c>
    </row>
    <row r="50" customFormat="false" ht="15" hidden="false" customHeight="true" outlineLevel="0" collapsed="false">
      <c r="A50" s="84" t="n">
        <v>0.4</v>
      </c>
      <c r="B50" s="85" t="n">
        <f aca="false">IF(B$44&lt;=$B$11,"n/a",$B$26+$B$27+(($A50-B$44)*$E$23/(B$44-$B$11))*$E$21)</f>
        <v>1730.93803361736</v>
      </c>
      <c r="C50" s="85" t="n">
        <f aca="false">IF(C$44&lt;=$B$11,"n/a",$B$26+$B$27+(($A50-C$44)*$E$23/(C$44-$B$11))*$E$21)</f>
        <v>1378.51879937215</v>
      </c>
      <c r="D50" s="85" t="n">
        <f aca="false">IF(D$44&lt;=$B$11,"n/a",$B$26+$B$27+(($A50-D$44)*$E$23/(D$44-$B$11))*$E$21)</f>
        <v>1143.57264320867</v>
      </c>
      <c r="E50" s="85" t="n">
        <f aca="false">IF(E$44&lt;=$B$11,"n/a",$B$26+$B$27+(($A50-E$44)*$E$23/(E$44-$B$11))*$E$21)</f>
        <v>975.753960234755</v>
      </c>
      <c r="F50" s="85" t="n">
        <f aca="false">IF(F$44&lt;=$B$11,"n/a",$B$26+$B$27+(($A50-F$44)*$E$23/(F$44-$B$11))*$E$21)</f>
        <v>849.88994800432</v>
      </c>
    </row>
    <row r="51" customFormat="false" ht="15" hidden="false" customHeight="true" outlineLevel="0" collapsed="false">
      <c r="A51" s="84" t="n">
        <v>0.5</v>
      </c>
      <c r="B51" s="85" t="n">
        <f aca="false">IF(B$44&lt;=$B$11,"n/a",$B$26+$B$27+(($A51-B$44)*$E$23/(B$44-$B$11))*$E$21)</f>
        <v>2220.40919229128</v>
      </c>
      <c r="C51" s="85" t="n">
        <f aca="false">IF(C$44&lt;=$B$11,"n/a",$B$26+$B$27+(($A51-C$44)*$E$23/(C$44-$B$11))*$E$21)</f>
        <v>1770.09572631127</v>
      </c>
      <c r="D51" s="85" t="n">
        <f aca="false">IF(D$44&lt;=$B$11,"n/a",$B$26+$B$27+(($A51-D$44)*$E$23/(D$44-$B$11))*$E$21)</f>
        <v>1469.88674899128</v>
      </c>
      <c r="E51" s="85" t="n">
        <f aca="false">IF(E$44&lt;=$B$11,"n/a",$B$26+$B$27+(($A51-E$44)*$E$23/(E$44-$B$11))*$E$21)</f>
        <v>1255.45176519128</v>
      </c>
      <c r="F51" s="85" t="n">
        <f aca="false">IF(F$44&lt;=$B$11,"n/a",$B$26+$B$27+(($A51-F$44)*$E$23/(F$44-$B$11))*$E$21)</f>
        <v>1094.62552734128</v>
      </c>
    </row>
    <row r="52" customFormat="false" ht="15.75" hidden="false" customHeight="true" outlineLevel="0" collapsed="false"/>
    <row r="53" customFormat="false" ht="16.5" hidden="false" customHeight="true" outlineLevel="0" collapsed="false">
      <c r="A53" s="14" t="s">
        <v>1030</v>
      </c>
      <c r="B53" s="14"/>
      <c r="C53" s="14"/>
      <c r="D53" s="14"/>
      <c r="E53" s="14"/>
      <c r="F53" s="14"/>
      <c r="G53" s="14"/>
      <c r="H53" s="14"/>
    </row>
    <row r="54" customFormat="false" ht="13.5" hidden="false" customHeight="true" outlineLevel="0" collapsed="false">
      <c r="A54" s="13" t="s">
        <v>1031</v>
      </c>
      <c r="B54" s="13"/>
      <c r="C54" s="13"/>
      <c r="D54" s="13"/>
      <c r="E54" s="13"/>
      <c r="F54" s="13"/>
      <c r="G54" s="13"/>
      <c r="H54" s="13"/>
    </row>
    <row r="55" customFormat="false" ht="15.75" hidden="false" customHeight="true" outlineLevel="0" collapsed="false"/>
    <row r="56" customFormat="false" ht="16.5" hidden="false" customHeight="true" outlineLevel="0" collapsed="false">
      <c r="A56" s="24" t="s">
        <v>1032</v>
      </c>
      <c r="B56" s="24"/>
      <c r="C56" s="24"/>
      <c r="D56" s="24"/>
      <c r="E56" s="24"/>
      <c r="F56" s="24"/>
      <c r="G56" s="24"/>
      <c r="H56" s="24"/>
    </row>
    <row r="57" customFormat="false" ht="24" hidden="false" customHeight="true" outlineLevel="0" collapsed="false">
      <c r="A57" s="36" t="s">
        <v>1033</v>
      </c>
      <c r="B57" s="36"/>
      <c r="C57" s="36"/>
      <c r="D57" s="36"/>
      <c r="E57" s="36"/>
      <c r="F57" s="36"/>
      <c r="G57" s="36"/>
      <c r="H57" s="36"/>
    </row>
    <row r="58" customFormat="false" ht="24" hidden="false" customHeight="true" outlineLevel="0" collapsed="false">
      <c r="A58" s="36" t="s">
        <v>1034</v>
      </c>
      <c r="B58" s="36"/>
      <c r="C58" s="36"/>
      <c r="D58" s="36"/>
      <c r="E58" s="36"/>
      <c r="F58" s="36"/>
      <c r="G58" s="36"/>
      <c r="H58" s="36"/>
    </row>
    <row r="59" customFormat="false" ht="24" hidden="false" customHeight="true" outlineLevel="0" collapsed="false">
      <c r="A59" s="36" t="s">
        <v>1035</v>
      </c>
      <c r="B59" s="36"/>
      <c r="C59" s="36"/>
      <c r="D59" s="36"/>
      <c r="E59" s="36"/>
      <c r="F59" s="36"/>
      <c r="G59" s="36"/>
      <c r="H59" s="36"/>
    </row>
    <row r="60" customFormat="false" ht="24" hidden="false" customHeight="true" outlineLevel="0" collapsed="false">
      <c r="A60" s="37" t="s">
        <v>1036</v>
      </c>
      <c r="B60" s="37"/>
      <c r="C60" s="37"/>
      <c r="D60" s="37"/>
      <c r="E60" s="37"/>
      <c r="F60" s="37"/>
      <c r="G60" s="37"/>
      <c r="H60" s="37"/>
    </row>
    <row r="61" customFormat="false" ht="24" hidden="false" customHeight="true" outlineLevel="0" collapsed="false">
      <c r="A61" s="36" t="s">
        <v>1037</v>
      </c>
      <c r="B61" s="36"/>
      <c r="C61" s="36"/>
      <c r="D61" s="36"/>
      <c r="E61" s="36"/>
      <c r="F61" s="36"/>
      <c r="G61" s="36"/>
      <c r="H61" s="36"/>
    </row>
    <row r="62" customFormat="false" ht="24" hidden="false" customHeight="true" outlineLevel="0" collapsed="false">
      <c r="A62" s="36" t="s">
        <v>1038</v>
      </c>
      <c r="B62" s="36"/>
      <c r="C62" s="36"/>
      <c r="D62" s="36"/>
      <c r="E62" s="36"/>
      <c r="F62" s="36"/>
      <c r="G62" s="36"/>
      <c r="H62" s="36"/>
    </row>
    <row r="63" customFormat="false" ht="15.75" hidden="false" customHeight="true" outlineLevel="0" collapsed="false"/>
    <row r="64" customFormat="false" ht="16.5" hidden="false" customHeight="true" outlineLevel="0" collapsed="false">
      <c r="A64" s="24" t="s">
        <v>1039</v>
      </c>
      <c r="B64" s="24"/>
      <c r="C64" s="24"/>
      <c r="D64" s="24"/>
      <c r="E64" s="24"/>
      <c r="F64" s="24"/>
      <c r="G64" s="24"/>
      <c r="H64" s="24"/>
    </row>
    <row r="65" customFormat="false" ht="13.5" hidden="false" customHeight="true" outlineLevel="0" collapsed="false">
      <c r="A65" s="13" t="s">
        <v>1040</v>
      </c>
      <c r="B65" s="13"/>
      <c r="C65" s="13"/>
      <c r="D65" s="13"/>
      <c r="E65" s="13"/>
      <c r="F65" s="13"/>
      <c r="G65" s="13"/>
      <c r="H65" s="13"/>
    </row>
    <row r="66" customFormat="false" ht="27.75" hidden="false" customHeight="true" outlineLevel="0" collapsed="false">
      <c r="A66" s="25" t="s">
        <v>1041</v>
      </c>
      <c r="B66" s="91" t="s">
        <v>280</v>
      </c>
      <c r="C66" s="25" t="s">
        <v>1042</v>
      </c>
      <c r="D66" s="25" t="s">
        <v>1010</v>
      </c>
      <c r="E66" s="25" t="s">
        <v>1043</v>
      </c>
      <c r="F66" s="25" t="s">
        <v>1044</v>
      </c>
      <c r="G66" s="25" t="s">
        <v>342</v>
      </c>
    </row>
    <row r="67" customFormat="false" ht="15" hidden="false" customHeight="true" outlineLevel="0" collapsed="false">
      <c r="A67" s="66" t="s">
        <v>1045</v>
      </c>
      <c r="B67" s="79" t="n">
        <f aca="false">Consensus!D27</f>
        <v>0.844</v>
      </c>
      <c r="C67" s="52" t="n">
        <f aca="false">(B67-$B$9)*$E$23</f>
        <v>440.288575601448</v>
      </c>
      <c r="D67" s="85" t="n">
        <f aca="false">IF($B$9&lt;=$B$11,"n/a",C67/($B$9-$B$11))</f>
        <v>3668.96580799055</v>
      </c>
      <c r="E67" s="85" t="n">
        <f aca="false">D67*$E$21</f>
        <v>2231.91293481076</v>
      </c>
      <c r="F67" s="96" t="n">
        <f aca="false">$B$26+$B$27+E67</f>
        <v>2592.33172414116</v>
      </c>
      <c r="G67" s="49" t="n">
        <f aca="false">F67/$B$5-1</f>
        <v>1.88036858237907</v>
      </c>
    </row>
    <row r="68" customFormat="false" ht="15" hidden="false" customHeight="true" outlineLevel="0" collapsed="false">
      <c r="A68" s="66" t="s">
        <v>1046</v>
      </c>
      <c r="B68" s="79" t="n">
        <f aca="false">Consensus!E27</f>
        <v>0.7384</v>
      </c>
      <c r="C68" s="52" t="n">
        <f aca="false">(B68-$B$9)*$E$23</f>
        <v>372.313855601448</v>
      </c>
      <c r="D68" s="85" t="n">
        <f aca="false">IF($B$9&lt;=$B$11,"n/a",C68/($B$9-$B$11))</f>
        <v>3102.52611977687</v>
      </c>
      <c r="E68" s="85" t="n">
        <f aca="false">D68*$E$21</f>
        <v>1887.3351619242</v>
      </c>
      <c r="F68" s="96" t="n">
        <f aca="false">$B$26+$B$27+E68</f>
        <v>2247.75395125461</v>
      </c>
      <c r="G68" s="49" t="n">
        <f aca="false">F68/$B$5-1</f>
        <v>1.4975043902829</v>
      </c>
    </row>
    <row r="69" customFormat="false" ht="15" hidden="false" customHeight="true" outlineLevel="0" collapsed="false">
      <c r="A69" s="133" t="s">
        <v>1047</v>
      </c>
      <c r="B69" s="79" t="n">
        <f aca="false">Consensus!F27</f>
        <v>0.4486</v>
      </c>
      <c r="C69" s="52" t="n">
        <f aca="false">(B69-$B$9)*$E$23</f>
        <v>185.769595601448</v>
      </c>
      <c r="D69" s="85" t="n">
        <f aca="false">IF($B$9&lt;=$B$11,"n/a",C69/($B$9-$B$11))</f>
        <v>1548.03538450863</v>
      </c>
      <c r="E69" s="85" t="n">
        <f aca="false">D69*$E$21</f>
        <v>941.704114741222</v>
      </c>
      <c r="F69" s="96" t="n">
        <f aca="false">$B$26+$B$27+E69</f>
        <v>1302.12290407163</v>
      </c>
      <c r="G69" s="49" t="n">
        <f aca="false">F69/$B$5-1</f>
        <v>0.446803226746255</v>
      </c>
    </row>
    <row r="70" customFormat="false" ht="15" hidden="false" customHeight="true" outlineLevel="0" collapsed="false">
      <c r="A70" s="132" t="s">
        <v>1048</v>
      </c>
      <c r="B70" s="79" t="n">
        <f aca="false">Consensus!G27</f>
        <v>0.296</v>
      </c>
      <c r="C70" s="52" t="n">
        <f aca="false">(B70-$B$9)*$E$23</f>
        <v>87.5409756014482</v>
      </c>
      <c r="D70" s="85" t="n">
        <f aca="false">IF($B$9&lt;=$B$11,"n/a",C70/($B$9-$B$11))</f>
        <v>729.487122942266</v>
      </c>
      <c r="E70" s="85" t="n">
        <f aca="false">D70*$E$21</f>
        <v>443.76312854342</v>
      </c>
      <c r="F70" s="94" t="n">
        <f aca="false">$B$26+$B$27+E70</f>
        <v>804.181917873828</v>
      </c>
      <c r="G70" s="49" t="n">
        <f aca="false">F70/$B$5-1</f>
        <v>-0.106464535695747</v>
      </c>
    </row>
    <row r="71" customFormat="false" ht="15" hidden="false" customHeight="true" outlineLevel="0" collapsed="false">
      <c r="A71" s="135" t="s">
        <v>1049</v>
      </c>
      <c r="B71" s="79" t="n">
        <f aca="false">Consensus!F28</f>
        <v>0.243</v>
      </c>
      <c r="C71" s="52" t="n">
        <f aca="false">(B71-$B$9)*$E$23</f>
        <v>53.4248756014482</v>
      </c>
      <c r="D71" s="85" t="n">
        <f aca="false">IF($B$9&lt;=$B$11,"n/a",C71/($B$9-$B$11))</f>
        <v>445.194476395625</v>
      </c>
      <c r="E71" s="85" t="n">
        <f aca="false">D71*$E$21</f>
        <v>270.821632681799</v>
      </c>
      <c r="F71" s="98" t="n">
        <f aca="false">$B$26+$B$27+E71</f>
        <v>631.240422012206</v>
      </c>
      <c r="G71" s="49" t="n">
        <f aca="false">F71/$B$5-1</f>
        <v>-0.298621753319771</v>
      </c>
    </row>
    <row r="72" customFormat="false" ht="15" hidden="false" customHeight="true" outlineLevel="0" collapsed="false">
      <c r="A72" s="135" t="s">
        <v>1050</v>
      </c>
      <c r="B72" s="79" t="n">
        <f aca="false">Consensus!G28</f>
        <v>0.148</v>
      </c>
      <c r="C72" s="52" t="n">
        <f aca="false">(B72-$B$9)*$E$23</f>
        <v>-7.7266243985518</v>
      </c>
      <c r="D72" s="85" t="n">
        <f aca="false">IF($B$9&lt;=$B$11,"n/a",C72/($B$9-$B$11))</f>
        <v>-64.3866825087317</v>
      </c>
      <c r="E72" s="85" t="n">
        <f aca="false">D72*$E$21</f>
        <v>-39.167841032429</v>
      </c>
      <c r="F72" s="98" t="n">
        <f aca="false">$B$26+$B$27+E72</f>
        <v>321.250948297978</v>
      </c>
      <c r="G72" s="49" t="n">
        <f aca="false">F72/$B$5-1</f>
        <v>-0.643054501891135</v>
      </c>
    </row>
    <row r="73" customFormat="false" ht="15" hidden="false" customHeight="true" outlineLevel="0" collapsed="false">
      <c r="A73" s="97" t="s">
        <v>1051</v>
      </c>
      <c r="B73" s="79" t="n">
        <f aca="false">HistoricalCycle!H11</f>
        <v>0.0782</v>
      </c>
      <c r="C73" s="52" t="n">
        <f aca="false">(B73-$B$9)*$E$23</f>
        <v>-52.6568843985518</v>
      </c>
      <c r="D73" s="85" t="n">
        <f aca="false">IF($B$9&lt;=$B$11,"n/a",C73/($B$9-$B$11))</f>
        <v>-438.794733998459</v>
      </c>
      <c r="E73" s="85" t="n">
        <f aca="false">D73*$E$21</f>
        <v>-266.928528035093</v>
      </c>
      <c r="F73" s="98" t="n">
        <f aca="false">$B$26+$B$27+E73</f>
        <v>93.4902612953143</v>
      </c>
      <c r="G73" s="49" t="n">
        <f aca="false">F73/$B$5-1</f>
        <v>-0.896121931894095</v>
      </c>
    </row>
    <row r="74" customFormat="false" ht="15" hidden="false" customHeight="true" outlineLevel="0" collapsed="false">
      <c r="A74" s="63" t="s">
        <v>1052</v>
      </c>
      <c r="B74" s="79" t="n">
        <f aca="false">HistoricalCycle!C11</f>
        <v>0.1851</v>
      </c>
      <c r="C74" s="52" t="n">
        <f aca="false">(B74-$B$9)*$E$23</f>
        <v>16.1546456014482</v>
      </c>
      <c r="D74" s="85" t="n">
        <f aca="false">IF($B$9&lt;=$B$11,"n/a",C74/($B$9-$B$11))</f>
        <v>134.618170073917</v>
      </c>
      <c r="E74" s="85" t="n">
        <f aca="false">D74*$E$21</f>
        <v>81.8912060707062</v>
      </c>
      <c r="F74" s="96" t="n">
        <f aca="false">$B$26+$B$27+E74</f>
        <v>442.309995401114</v>
      </c>
      <c r="G74" s="49" t="n">
        <f aca="false">F74/$B$5-1</f>
        <v>-0.508544449554318</v>
      </c>
    </row>
    <row r="75" customFormat="false" ht="15.75" hidden="false" customHeight="true" outlineLevel="0" collapsed="false"/>
    <row r="76" customFormat="false" ht="16.5" hidden="false" customHeight="true" outlineLevel="0" collapsed="false">
      <c r="A76" s="14" t="str">
        <f aca="false">"Using the FY2029 consensus median of 29.6% as the terminal ROE gives an intrinsic value of "&amp;TEXT(F70,"$#,##0")&amp;", against a current price of "&amp;TEXT(B5,"$#,##0")&amp;" - almost identical."</f>
        <v>Using the FY2029 consensus median of 29.6% as the terminal ROE gives an intrinsic value of $804, against a current price of $900 - almost identical.</v>
      </c>
      <c r="B76" s="14"/>
      <c r="C76" s="14"/>
      <c r="D76" s="14"/>
      <c r="E76" s="14"/>
      <c r="F76" s="14"/>
      <c r="G76" s="14"/>
      <c r="H76" s="14"/>
    </row>
    <row r="77" customFormat="false" ht="16.5" hidden="false" customHeight="true" outlineLevel="0" collapsed="false">
      <c r="A77" s="14" t="s">
        <v>1053</v>
      </c>
      <c r="B77" s="14"/>
      <c r="C77" s="14"/>
      <c r="D77" s="14"/>
      <c r="E77" s="14"/>
      <c r="F77" s="14"/>
      <c r="G77" s="14"/>
      <c r="H77" s="14"/>
    </row>
    <row r="78" customFormat="false" ht="16.5" hidden="false" customHeight="true" outlineLevel="0" collapsed="false">
      <c r="A78" s="77" t="s">
        <v>1054</v>
      </c>
      <c r="B78" s="77"/>
      <c r="C78" s="77"/>
      <c r="D78" s="77"/>
      <c r="E78" s="77"/>
      <c r="F78" s="77"/>
      <c r="G78" s="77"/>
      <c r="H78" s="77"/>
    </row>
    <row r="79" customFormat="false" ht="13.5" hidden="false" customHeight="true" outlineLevel="0" collapsed="false">
      <c r="A79" s="13" t="s">
        <v>1055</v>
      </c>
      <c r="B79" s="13"/>
      <c r="C79" s="13"/>
      <c r="D79" s="13"/>
      <c r="E79" s="13"/>
      <c r="F79" s="13"/>
      <c r="G79" s="13"/>
      <c r="H79" s="13"/>
    </row>
    <row r="80" customFormat="false" ht="15.75" hidden="false" customHeight="true" outlineLevel="0" collapsed="false"/>
    <row r="81" customFormat="false" ht="16.5" hidden="false" customHeight="true" outlineLevel="0" collapsed="false">
      <c r="A81" s="24" t="s">
        <v>1056</v>
      </c>
      <c r="B81" s="24"/>
      <c r="C81" s="24"/>
      <c r="D81" s="24"/>
      <c r="E81" s="24"/>
      <c r="F81" s="24"/>
      <c r="G81" s="24"/>
      <c r="H81" s="24"/>
    </row>
    <row r="82" customFormat="false" ht="15" hidden="false" customHeight="true" outlineLevel="0" collapsed="false">
      <c r="A82" s="61" t="s">
        <v>182</v>
      </c>
      <c r="B82" s="62" t="s">
        <v>1057</v>
      </c>
      <c r="C82" s="62" t="s">
        <v>1058</v>
      </c>
      <c r="D82" s="62" t="s">
        <v>1059</v>
      </c>
      <c r="E82" s="62" t="s">
        <v>1060</v>
      </c>
      <c r="F82" s="61" t="s">
        <v>248</v>
      </c>
      <c r="G82" s="61"/>
      <c r="H82" s="61"/>
    </row>
    <row r="83" customFormat="false" ht="15" hidden="false" customHeight="true" outlineLevel="0" collapsed="false">
      <c r="A83" s="63" t="s">
        <v>1061</v>
      </c>
      <c r="B83" s="150" t="n">
        <f aca="false">Consensus!D7</f>
        <v>45</v>
      </c>
      <c r="C83" s="150" t="n">
        <f aca="false">Consensus!E7</f>
        <v>46</v>
      </c>
      <c r="D83" s="150" t="n">
        <f aca="false">Consensus!F7</f>
        <v>31</v>
      </c>
      <c r="E83" s="150" t="n">
        <f aca="false">Consensus!G7</f>
        <v>5</v>
      </c>
      <c r="F83" s="41"/>
      <c r="G83" s="41"/>
      <c r="H83" s="41"/>
    </row>
    <row r="84" customFormat="false" ht="15" hidden="false" customHeight="true" outlineLevel="0" collapsed="false">
      <c r="A84" s="63" t="s">
        <v>1062</v>
      </c>
      <c r="B84" s="150" t="n">
        <f aca="false">Consensus!D17</f>
        <v>39</v>
      </c>
      <c r="C84" s="150" t="n">
        <f aca="false">Consensus!E17</f>
        <v>39</v>
      </c>
      <c r="D84" s="150" t="n">
        <f aca="false">Consensus!F17</f>
        <v>26</v>
      </c>
      <c r="E84" s="150" t="n">
        <f aca="false">Consensus!G17</f>
        <v>3</v>
      </c>
      <c r="F84" s="41"/>
      <c r="G84" s="41"/>
      <c r="H84" s="41"/>
    </row>
    <row r="85" customFormat="false" ht="15" hidden="false" customHeight="true" outlineLevel="0" collapsed="false">
      <c r="A85" s="66" t="s">
        <v>1063</v>
      </c>
      <c r="B85" s="150" t="n">
        <f aca="false">Consensus!D19</f>
        <v>47</v>
      </c>
      <c r="C85" s="150" t="n">
        <f aca="false">Consensus!E19</f>
        <v>47</v>
      </c>
      <c r="D85" s="150" t="n">
        <f aca="false">Consensus!F19</f>
        <v>31</v>
      </c>
      <c r="E85" s="150" t="n">
        <f aca="false">Consensus!G19</f>
        <v>4</v>
      </c>
      <c r="F85" s="44" t="s">
        <v>1064</v>
      </c>
      <c r="G85" s="44"/>
      <c r="H85" s="44"/>
    </row>
    <row r="86" customFormat="false" ht="15" hidden="false" customHeight="true" outlineLevel="0" collapsed="false">
      <c r="A86" s="66" t="s">
        <v>1065</v>
      </c>
      <c r="B86" s="150" t="n">
        <f aca="false">Consensus!D25</f>
        <v>16</v>
      </c>
      <c r="C86" s="150" t="n">
        <f aca="false">Consensus!E25</f>
        <v>16</v>
      </c>
      <c r="D86" s="150" t="n">
        <f aca="false">Consensus!F25</f>
        <v>12</v>
      </c>
      <c r="E86" s="150" t="n">
        <f aca="false">Consensus!G25</f>
        <v>2</v>
      </c>
      <c r="F86" s="41" t="s">
        <v>1066</v>
      </c>
      <c r="G86" s="41"/>
      <c r="H86" s="41"/>
    </row>
    <row r="87" customFormat="false" ht="15" hidden="false" customHeight="true" outlineLevel="0" collapsed="false">
      <c r="A87" s="66" t="s">
        <v>1067</v>
      </c>
      <c r="B87" s="151" t="s">
        <v>208</v>
      </c>
      <c r="C87" s="151" t="s">
        <v>208</v>
      </c>
      <c r="D87" s="151" t="s">
        <v>208</v>
      </c>
      <c r="E87" s="151" t="s">
        <v>208</v>
      </c>
      <c r="F87" s="44" t="s">
        <v>1068</v>
      </c>
      <c r="G87" s="44"/>
      <c r="H87" s="44"/>
    </row>
    <row r="88" customFormat="false" ht="16.5" hidden="false" customHeight="true" outlineLevel="0" collapsed="false">
      <c r="A88" s="77" t="s">
        <v>1069</v>
      </c>
      <c r="B88" s="77"/>
      <c r="C88" s="77"/>
      <c r="D88" s="77"/>
      <c r="E88" s="77"/>
      <c r="F88" s="77"/>
      <c r="G88" s="77"/>
      <c r="H88" s="77"/>
    </row>
    <row r="89" customFormat="false" ht="16.5" hidden="false" customHeight="true" outlineLevel="0" collapsed="false">
      <c r="A89" s="14" t="s">
        <v>1070</v>
      </c>
      <c r="B89" s="14"/>
      <c r="C89" s="14"/>
      <c r="D89" s="14"/>
      <c r="E89" s="14"/>
      <c r="F89" s="14"/>
      <c r="G89" s="14"/>
      <c r="H89" s="14"/>
    </row>
    <row r="90" customFormat="false" ht="15.75" hidden="false" customHeight="true" outlineLevel="0" collapsed="false"/>
    <row r="91" customFormat="false" ht="16.5" hidden="false" customHeight="true" outlineLevel="0" collapsed="false">
      <c r="A91" s="24" t="s">
        <v>1071</v>
      </c>
      <c r="B91" s="24"/>
      <c r="C91" s="24"/>
      <c r="D91" s="24"/>
      <c r="E91" s="24"/>
      <c r="F91" s="24"/>
      <c r="G91" s="24"/>
      <c r="H91" s="24"/>
    </row>
    <row r="92" customFormat="false" ht="13.5" hidden="false" customHeight="true" outlineLevel="0" collapsed="false">
      <c r="A92" s="57" t="s">
        <v>1072</v>
      </c>
      <c r="B92" s="57"/>
      <c r="C92" s="57"/>
      <c r="D92" s="57"/>
      <c r="E92" s="57"/>
      <c r="F92" s="57"/>
      <c r="G92" s="57"/>
      <c r="H92" s="57"/>
    </row>
    <row r="93" customFormat="false" ht="15" hidden="false" customHeight="true" outlineLevel="0" collapsed="false">
      <c r="A93" s="50" t="s">
        <v>1073</v>
      </c>
      <c r="B93" s="52" t="n">
        <f aca="false">B6</f>
        <v>48.4</v>
      </c>
      <c r="C93" s="41" t="s">
        <v>1074</v>
      </c>
      <c r="D93" s="41"/>
      <c r="E93" s="41"/>
      <c r="F93" s="41"/>
      <c r="G93" s="41"/>
      <c r="H93" s="41"/>
    </row>
    <row r="94" customFormat="false" ht="15" hidden="false" customHeight="true" outlineLevel="0" collapsed="false">
      <c r="A94" s="50" t="s">
        <v>1075</v>
      </c>
      <c r="B94" s="52" t="n">
        <f aca="false">SUM(B22:D22)</f>
        <v>271.176843406481</v>
      </c>
      <c r="C94" s="44" t="s">
        <v>1076</v>
      </c>
      <c r="D94" s="44"/>
      <c r="E94" s="44"/>
      <c r="F94" s="44"/>
      <c r="G94" s="44"/>
      <c r="H94" s="44"/>
    </row>
    <row r="95" customFormat="false" ht="15" hidden="false" customHeight="true" outlineLevel="0" collapsed="false">
      <c r="A95" s="10" t="s">
        <v>1077</v>
      </c>
      <c r="B95" s="52" t="n">
        <f aca="false">D23</f>
        <v>437.94</v>
      </c>
      <c r="C95" s="44" t="s">
        <v>1078</v>
      </c>
      <c r="D95" s="44"/>
      <c r="E95" s="44"/>
      <c r="F95" s="44"/>
      <c r="G95" s="44"/>
      <c r="H95" s="44"/>
    </row>
    <row r="96" customFormat="false" ht="15" hidden="false" customHeight="true" outlineLevel="0" collapsed="false">
      <c r="A96" s="10" t="s">
        <v>1079</v>
      </c>
      <c r="B96" s="149" t="n">
        <f aca="false">D21</f>
        <v>0.71173894309391</v>
      </c>
      <c r="C96" s="44" t="s">
        <v>1080</v>
      </c>
      <c r="D96" s="44"/>
      <c r="E96" s="44"/>
      <c r="F96" s="44"/>
      <c r="G96" s="44"/>
      <c r="H96" s="44"/>
    </row>
    <row r="97" customFormat="false" ht="15" hidden="false" customHeight="true" outlineLevel="0" collapsed="false">
      <c r="A97" s="63" t="s">
        <v>991</v>
      </c>
      <c r="B97" s="47" t="n">
        <v>0.296</v>
      </c>
      <c r="C97" s="41" t="s">
        <v>1081</v>
      </c>
      <c r="D97" s="41"/>
      <c r="E97" s="41"/>
      <c r="F97" s="41"/>
      <c r="G97" s="41"/>
      <c r="H97" s="41"/>
    </row>
    <row r="98" customFormat="false" ht="15" hidden="false" customHeight="true" outlineLevel="0" collapsed="false">
      <c r="A98" s="10" t="s">
        <v>1042</v>
      </c>
      <c r="B98" s="52" t="n">
        <f aca="false">(B97-$B$9)*B95</f>
        <v>59.5583266349203</v>
      </c>
      <c r="C98" s="44" t="s">
        <v>1082</v>
      </c>
      <c r="D98" s="44"/>
      <c r="E98" s="44"/>
      <c r="F98" s="44"/>
      <c r="G98" s="44"/>
      <c r="H98" s="44"/>
    </row>
    <row r="99" customFormat="false" ht="15" hidden="false" customHeight="true" outlineLevel="0" collapsed="false">
      <c r="A99" s="10" t="s">
        <v>1010</v>
      </c>
      <c r="B99" s="85" t="n">
        <f aca="false">IF($B$9&lt;=$B$11,"Error",B98/($B$9-$B$11))</f>
        <v>496.305096506658</v>
      </c>
      <c r="C99" s="41"/>
      <c r="D99" s="41"/>
      <c r="E99" s="41"/>
      <c r="F99" s="41"/>
      <c r="G99" s="41"/>
      <c r="H99" s="41"/>
    </row>
    <row r="100" customFormat="false" ht="15" hidden="false" customHeight="true" outlineLevel="0" collapsed="false">
      <c r="A100" s="50" t="s">
        <v>1012</v>
      </c>
      <c r="B100" s="85" t="n">
        <f aca="false">B99*B96</f>
        <v>353.23966483977</v>
      </c>
      <c r="C100" s="41"/>
      <c r="D100" s="41"/>
      <c r="E100" s="41"/>
      <c r="F100" s="41"/>
      <c r="G100" s="41"/>
      <c r="H100" s="41"/>
    </row>
    <row r="101" customFormat="false" ht="15" hidden="false" customHeight="true" outlineLevel="0" collapsed="false">
      <c r="A101" s="63" t="s">
        <v>1083</v>
      </c>
      <c r="B101" s="96" t="n">
        <f aca="false">B93+B94+B100</f>
        <v>672.816508246251</v>
      </c>
      <c r="C101" s="41" t="s">
        <v>1084</v>
      </c>
      <c r="D101" s="41"/>
      <c r="E101" s="41"/>
      <c r="F101" s="41"/>
      <c r="G101" s="41"/>
      <c r="H101" s="41"/>
    </row>
    <row r="102" customFormat="false" ht="15" hidden="false" customHeight="true" outlineLevel="0" collapsed="false">
      <c r="A102" s="63" t="s">
        <v>342</v>
      </c>
      <c r="B102" s="82" t="n">
        <f aca="false">B101/$B$5-1</f>
        <v>-0.25242610194861</v>
      </c>
      <c r="C102" s="41"/>
      <c r="D102" s="41"/>
      <c r="E102" s="41"/>
      <c r="F102" s="41"/>
      <c r="G102" s="41"/>
      <c r="H102" s="41"/>
    </row>
    <row r="103" customFormat="false" ht="15" hidden="false" customHeight="true" outlineLevel="0" collapsed="false">
      <c r="A103" s="10" t="s">
        <v>1085</v>
      </c>
      <c r="B103" s="85" t="n">
        <f aca="false">B31</f>
        <v>663.142356775311</v>
      </c>
      <c r="C103" s="41" t="s">
        <v>1086</v>
      </c>
      <c r="D103" s="41"/>
      <c r="E103" s="41"/>
      <c r="F103" s="41"/>
      <c r="G103" s="41"/>
      <c r="H103" s="41"/>
    </row>
    <row r="104" customFormat="false" ht="15" hidden="false" customHeight="true" outlineLevel="0" collapsed="false">
      <c r="A104" s="63" t="s">
        <v>1087</v>
      </c>
      <c r="B104" s="96" t="n">
        <f aca="false">B101-B103</f>
        <v>9.67415147093959</v>
      </c>
      <c r="C104" s="41" t="s">
        <v>1088</v>
      </c>
      <c r="D104" s="41"/>
      <c r="E104" s="41"/>
      <c r="F104" s="41"/>
      <c r="G104" s="41"/>
      <c r="H104" s="41"/>
    </row>
    <row r="105" customFormat="false" ht="15.75" hidden="false" customHeight="true" outlineLevel="0" collapsed="false"/>
    <row r="106" customFormat="false" ht="16.5" hidden="false" customHeight="true" outlineLevel="0" collapsed="false">
      <c r="A106" s="24" t="s">
        <v>1089</v>
      </c>
      <c r="B106" s="24"/>
      <c r="C106" s="24"/>
      <c r="D106" s="24"/>
      <c r="E106" s="24"/>
      <c r="F106" s="24"/>
      <c r="G106" s="24"/>
      <c r="H106" s="24"/>
    </row>
    <row r="107" customFormat="false" ht="27.75" hidden="false" customHeight="true" outlineLevel="0" collapsed="false">
      <c r="A107" s="25" t="s">
        <v>1090</v>
      </c>
      <c r="B107" s="25" t="s">
        <v>828</v>
      </c>
      <c r="C107" s="25" t="s">
        <v>1042</v>
      </c>
      <c r="D107" s="25" t="s">
        <v>1083</v>
      </c>
      <c r="E107" s="25" t="s">
        <v>342</v>
      </c>
      <c r="F107" s="91" t="s">
        <v>1091</v>
      </c>
      <c r="G107" s="91"/>
      <c r="H107" s="91"/>
    </row>
    <row r="108" customFormat="false" ht="15" hidden="false" customHeight="true" outlineLevel="0" collapsed="false">
      <c r="A108" s="152" t="n">
        <v>0.449</v>
      </c>
      <c r="B108" s="50" t="s">
        <v>1092</v>
      </c>
      <c r="C108" s="52" t="n">
        <f aca="false">(A108-$B$9)*$D$23</f>
        <v>126.56314663492</v>
      </c>
      <c r="D108" s="96" t="n">
        <f aca="false">IF($B$9&lt;=$B$11,"n/a",$B$93+$B$94+(C108/($B$9-$B$11))*$D$21)</f>
        <v>1070.22122890829</v>
      </c>
      <c r="E108" s="49" t="n">
        <f aca="false">D108/$B$5-1</f>
        <v>0.189134698786991</v>
      </c>
      <c r="F108" s="85" t="n">
        <f aca="false">D108-($B$26+$B$27+((A108-$B$9)*$E$23/($B$9-$B$11))*$E$21)</f>
        <v>-233.206894000029</v>
      </c>
      <c r="G108" s="85"/>
      <c r="H108" s="85"/>
    </row>
    <row r="109" customFormat="false" ht="15" hidden="false" customHeight="true" outlineLevel="0" collapsed="false">
      <c r="A109" s="153" t="n">
        <v>0.36</v>
      </c>
      <c r="B109" s="10" t="s">
        <v>1093</v>
      </c>
      <c r="C109" s="52" t="n">
        <f aca="false">(A109-$B$9)*$D$23</f>
        <v>87.5864866349203</v>
      </c>
      <c r="D109" s="154" t="n">
        <f aca="false">IF($B$9&lt;=$B$11,"n/a",$B$93+$B$94+(C109/($B$9-$B$11))*$D$21)</f>
        <v>839.05116264083</v>
      </c>
      <c r="E109" s="49" t="n">
        <f aca="false">D109/$B$5-1</f>
        <v>-0.0677209303990779</v>
      </c>
      <c r="F109" s="85" t="n">
        <f aca="false">D109-($B$26+$B$27+((A109-$B$9)*$E$23/($B$9-$B$11))*$E$21)</f>
        <v>-173.965769103635</v>
      </c>
      <c r="G109" s="85"/>
      <c r="H109" s="85"/>
    </row>
    <row r="110" customFormat="false" ht="15" hidden="false" customHeight="true" outlineLevel="0" collapsed="false">
      <c r="A110" s="155" t="n">
        <v>0.296</v>
      </c>
      <c r="B110" s="50" t="s">
        <v>1094</v>
      </c>
      <c r="C110" s="52" t="n">
        <f aca="false">(A110-$B$9)*$D$23</f>
        <v>59.5583266349203</v>
      </c>
      <c r="D110" s="94" t="n">
        <f aca="false">IF($B$9&lt;=$B$11,"n/a",$B$93+$B$94+(C110/($B$9-$B$11))*$D$21)</f>
        <v>672.816508246251</v>
      </c>
      <c r="E110" s="49" t="n">
        <f aca="false">D110/$B$5-1</f>
        <v>-0.25242610194861</v>
      </c>
      <c r="F110" s="85" t="n">
        <f aca="false">D110-($B$26+$B$27+((A110-$B$9)*$E$23/($B$9-$B$11))*$E$21)</f>
        <v>-131.365409627577</v>
      </c>
      <c r="G110" s="85"/>
      <c r="H110" s="85"/>
    </row>
    <row r="111" customFormat="false" ht="15" hidden="false" customHeight="true" outlineLevel="0" collapsed="false">
      <c r="A111" s="156" t="n">
        <v>0.243</v>
      </c>
      <c r="B111" s="50" t="s">
        <v>1049</v>
      </c>
      <c r="C111" s="52" t="n">
        <f aca="false">(A111-$B$9)*$D$23</f>
        <v>36.3475066349203</v>
      </c>
      <c r="D111" s="98" t="n">
        <f aca="false">IF($B$9&lt;=$B$11,"n/a",$B$93+$B$94+(C111/($B$9-$B$11))*$D$21)</f>
        <v>535.15343507574</v>
      </c>
      <c r="E111" s="49" t="n">
        <f aca="false">D111/$B$5-1</f>
        <v>-0.405385072138067</v>
      </c>
      <c r="F111" s="85" t="n">
        <f aca="false">D111-($B$26+$B$27+((A111-$B$9)*$E$23/($B$9-$B$11))*$E$21)</f>
        <v>-96.086986936466</v>
      </c>
      <c r="G111" s="85"/>
      <c r="H111" s="85"/>
    </row>
    <row r="112" customFormat="false" ht="15" hidden="false" customHeight="true" outlineLevel="0" collapsed="false">
      <c r="A112" s="156" t="n">
        <v>0.185</v>
      </c>
      <c r="B112" s="10" t="s">
        <v>1052</v>
      </c>
      <c r="C112" s="52" t="n">
        <f aca="false">(A112-$B$9)*$D$23</f>
        <v>10.9469866349203</v>
      </c>
      <c r="D112" s="98" t="n">
        <f aca="false">IF($B$9&lt;=$B$11,"n/a",$B$93+$B$94+(C112/($B$9-$B$11))*$D$21)</f>
        <v>384.503279530653</v>
      </c>
      <c r="E112" s="49" t="n">
        <f aca="false">D112/$B$5-1</f>
        <v>-0.57277413385483</v>
      </c>
      <c r="F112" s="85" t="n">
        <f aca="false">D112-($B$26+$B$27+((A112-$B$9)*$E$23/($B$9-$B$11))*$E$21)</f>
        <v>-57.4804111612881</v>
      </c>
      <c r="G112" s="85"/>
      <c r="H112" s="85"/>
    </row>
    <row r="113" customFormat="false" ht="15" hidden="false" customHeight="true" outlineLevel="0" collapsed="false">
      <c r="A113" s="156" t="n">
        <v>0.078</v>
      </c>
      <c r="B113" s="10" t="s">
        <v>1051</v>
      </c>
      <c r="C113" s="52" t="n">
        <f aca="false">(A113-$B$9)*$D$23</f>
        <v>-35.9125933650797</v>
      </c>
      <c r="D113" s="98" t="n">
        <f aca="false">IF($B$9&lt;=$B$11,"n/a",$B$93+$B$94+(C113/($B$9-$B$11))*$D$21)</f>
        <v>106.579716714716</v>
      </c>
      <c r="E113" s="49" t="n">
        <f aca="false">D113/$B$5-1</f>
        <v>-0.881578092539205</v>
      </c>
      <c r="F113" s="85" t="n">
        <f aca="false">D113-($B$26+$B$27+((A113-$B$9)*$E$23/($B$9-$B$11))*$E$21)</f>
        <v>13.7420648377471</v>
      </c>
      <c r="G113" s="85"/>
      <c r="H113" s="85"/>
    </row>
    <row r="114" customFormat="false" ht="15.75" hidden="false" customHeight="true" outlineLevel="0" collapsed="false"/>
    <row r="115" customFormat="false" ht="16.5" hidden="false" customHeight="true" outlineLevel="0" collapsed="false">
      <c r="A115" s="14" t="s">
        <v>1095</v>
      </c>
      <c r="B115" s="14"/>
      <c r="C115" s="14"/>
      <c r="D115" s="14"/>
      <c r="E115" s="14"/>
      <c r="F115" s="14"/>
      <c r="G115" s="14"/>
      <c r="H115" s="14"/>
    </row>
    <row r="116" customFormat="false" ht="13.5" hidden="false" customHeight="true" outlineLevel="0" collapsed="false">
      <c r="A116" s="57" t="s">
        <v>1096</v>
      </c>
      <c r="B116" s="57"/>
      <c r="C116" s="57"/>
      <c r="D116" s="57"/>
      <c r="E116" s="57"/>
      <c r="F116" s="57"/>
      <c r="G116" s="57"/>
      <c r="H116" s="57"/>
    </row>
    <row r="117" customFormat="false" ht="13.5" hidden="false" customHeight="true" outlineLevel="0" collapsed="false">
      <c r="A117" s="13" t="s">
        <v>1097</v>
      </c>
      <c r="B117" s="13"/>
      <c r="C117" s="13"/>
      <c r="D117" s="13"/>
      <c r="E117" s="13"/>
      <c r="F117" s="13"/>
      <c r="G117" s="13"/>
      <c r="H117" s="13"/>
    </row>
    <row r="118" customFormat="false" ht="16.5" hidden="false" customHeight="true" outlineLevel="0" collapsed="false">
      <c r="A118" s="14" t="s">
        <v>1098</v>
      </c>
      <c r="B118" s="14"/>
      <c r="C118" s="14"/>
      <c r="D118" s="14"/>
      <c r="E118" s="14"/>
      <c r="F118" s="14"/>
      <c r="G118" s="14"/>
      <c r="H118" s="14"/>
    </row>
    <row r="119" customFormat="false" ht="13.5" hidden="false" customHeight="true" outlineLevel="0" collapsed="false">
      <c r="A119" s="13" t="s">
        <v>1099</v>
      </c>
      <c r="B119" s="13"/>
      <c r="C119" s="13"/>
      <c r="D119" s="13"/>
      <c r="E119" s="13"/>
      <c r="F119" s="13"/>
      <c r="G119" s="13"/>
      <c r="H119" s="13"/>
    </row>
    <row r="120" customFormat="false" ht="15.75" hidden="false" customHeight="true" outlineLevel="0" collapsed="false"/>
    <row r="121" customFormat="false" ht="16.5" hidden="false" customHeight="true" outlineLevel="0" collapsed="false">
      <c r="A121" s="24" t="s">
        <v>1100</v>
      </c>
      <c r="B121" s="24"/>
      <c r="C121" s="24"/>
      <c r="D121" s="24"/>
      <c r="E121" s="24"/>
      <c r="F121" s="24"/>
      <c r="G121" s="24"/>
      <c r="H121" s="24"/>
      <c r="I121" s="24"/>
    </row>
    <row r="122" customFormat="false" ht="13.5" hidden="false" customHeight="true" outlineLevel="0" collapsed="false">
      <c r="A122" s="13" t="s">
        <v>1101</v>
      </c>
      <c r="B122" s="13"/>
      <c r="C122" s="13"/>
      <c r="D122" s="13"/>
      <c r="E122" s="13"/>
      <c r="F122" s="13"/>
      <c r="G122" s="13"/>
      <c r="H122" s="13"/>
      <c r="I122" s="13"/>
    </row>
    <row r="123" customFormat="false" ht="13.5" hidden="false" customHeight="true" outlineLevel="0" collapsed="false">
      <c r="A123" s="57" t="s">
        <v>1102</v>
      </c>
      <c r="B123" s="57"/>
      <c r="C123" s="57"/>
      <c r="D123" s="57"/>
      <c r="E123" s="57"/>
      <c r="F123" s="57"/>
      <c r="G123" s="57"/>
      <c r="H123" s="57"/>
      <c r="I123" s="57"/>
    </row>
    <row r="124" customFormat="false" ht="15.75" hidden="false" customHeight="true" outlineLevel="0" collapsed="false"/>
    <row r="125" customFormat="false" ht="15" hidden="false" customHeight="true" outlineLevel="0" collapsed="false">
      <c r="A125" s="50" t="s">
        <v>1103</v>
      </c>
      <c r="B125" s="81" t="n">
        <f aca="false">B6</f>
        <v>48.4</v>
      </c>
    </row>
    <row r="126" customFormat="false" ht="15" hidden="false" customHeight="true" outlineLevel="0" collapsed="false">
      <c r="A126" s="50" t="s">
        <v>1104</v>
      </c>
      <c r="B126" s="81" t="n">
        <f aca="false">SUM(B22:D22)</f>
        <v>271.176843406481</v>
      </c>
    </row>
    <row r="127" customFormat="false" ht="15" hidden="false" customHeight="true" outlineLevel="0" collapsed="false">
      <c r="A127" s="10" t="s">
        <v>1105</v>
      </c>
      <c r="B127" s="81" t="n">
        <f aca="false">D23</f>
        <v>437.94</v>
      </c>
    </row>
    <row r="128" customFormat="false" ht="15" hidden="false" customHeight="true" outlineLevel="0" collapsed="false">
      <c r="A128" s="50" t="s">
        <v>1106</v>
      </c>
      <c r="B128" s="157" t="n">
        <f aca="false">D21</f>
        <v>0.71173894309391</v>
      </c>
    </row>
    <row r="129" customFormat="false" ht="15" hidden="false" customHeight="true" outlineLevel="0" collapsed="false">
      <c r="A129" s="10" t="s">
        <v>1107</v>
      </c>
      <c r="B129" s="81" t="n">
        <f aca="false">B125+B126</f>
        <v>319.576843406481</v>
      </c>
    </row>
    <row r="130" customFormat="false" ht="15.75" hidden="false" customHeight="true" outlineLevel="0" collapsed="false"/>
    <row r="131" customFormat="false" ht="16.5" hidden="false" customHeight="true" outlineLevel="0" collapsed="false">
      <c r="A131" s="8" t="s">
        <v>1108</v>
      </c>
      <c r="B131" s="8"/>
      <c r="C131" s="8"/>
      <c r="D131" s="8"/>
      <c r="E131" s="8"/>
      <c r="F131" s="8"/>
      <c r="G131" s="8"/>
      <c r="H131" s="8"/>
      <c r="I131" s="8"/>
    </row>
    <row r="132" customFormat="false" ht="15" hidden="false" customHeight="true" outlineLevel="0" collapsed="false">
      <c r="A132" s="38" t="s">
        <v>1029</v>
      </c>
      <c r="B132" s="84" t="n">
        <v>0.12</v>
      </c>
      <c r="C132" s="84" t="n">
        <v>0.13</v>
      </c>
      <c r="D132" s="84" t="n">
        <v>0.14</v>
      </c>
      <c r="E132" s="84" t="n">
        <v>0.15</v>
      </c>
      <c r="F132" s="84" t="n">
        <v>0.16</v>
      </c>
      <c r="G132" s="84" t="n">
        <v>0.17</v>
      </c>
      <c r="H132" s="84" t="n">
        <v>0.18</v>
      </c>
    </row>
    <row r="133" customFormat="false" ht="15" hidden="false" customHeight="true" outlineLevel="0" collapsed="false">
      <c r="A133" s="84" t="n">
        <v>0.2</v>
      </c>
      <c r="B133" s="85" t="n">
        <f aca="false">IF(B$132&lt;=$B$11,"n/a",$B$129+(($A133-B$132)*$B$127/(B$132-$B$11))*$B$128)</f>
        <v>631.275796145028</v>
      </c>
      <c r="C133" s="85" t="n">
        <f aca="false">IF(C$132&lt;=$B$11,"n/a",$B$129+(($A133-C$132)*$B$127/(C$132-$B$11))*$B$128)</f>
        <v>562.009362203129</v>
      </c>
      <c r="D133" s="85" t="n">
        <f aca="false">IF(D$132&lt;=$B$11,"n/a",$B$129+(($A133-D$132)*$B$127/(D$132-$B$11))*$B$128)</f>
        <v>506.596215049609</v>
      </c>
      <c r="E133" s="85" t="n">
        <f aca="false">IF(E$132&lt;=$B$11,"n/a",$B$129+(($A133-E$132)*$B$127/(E$132-$B$11))*$B$128)</f>
        <v>461.258185560366</v>
      </c>
      <c r="F133" s="85" t="n">
        <f aca="false">IF(F$132&lt;=$B$11,"n/a",$B$129+(($A133-F$132)*$B$127/(F$132-$B$11))*$B$128)</f>
        <v>423.47649431933</v>
      </c>
      <c r="G133" s="85" t="n">
        <f aca="false">IF(G$132&lt;=$B$11,"n/a",$B$129+(($A133-G$132)*$B$127/(G$132-$B$11))*$B$128)</f>
        <v>391.50737096153</v>
      </c>
      <c r="H133" s="85" t="n">
        <f aca="false">IF(H$132&lt;=$B$11,"n/a",$B$129+(($A133-H$132)*$B$127/(H$132-$B$11))*$B$128)</f>
        <v>364.105265226274</v>
      </c>
    </row>
    <row r="134" customFormat="false" ht="15" hidden="false" customHeight="true" outlineLevel="0" collapsed="false">
      <c r="A134" s="84" t="n">
        <v>0.22</v>
      </c>
      <c r="B134" s="85" t="n">
        <f aca="false">IF(B$132&lt;=$B$11,"n/a",$B$129+(($A134-B$132)*$B$127/(B$132-$B$11))*$B$128)</f>
        <v>709.200534329665</v>
      </c>
      <c r="C134" s="85" t="n">
        <f aca="false">IF(C$132&lt;=$B$11,"n/a",$B$129+(($A134-C$132)*$B$127/(C$132-$B$11))*$B$128)</f>
        <v>631.275796145028</v>
      </c>
      <c r="D134" s="85" t="n">
        <f aca="false">IF(D$132&lt;=$B$11,"n/a",$B$129+(($A134-D$132)*$B$127/(D$132-$B$11))*$B$128)</f>
        <v>568.936005597318</v>
      </c>
      <c r="E134" s="85" t="n">
        <f aca="false">IF(E$132&lt;=$B$11,"n/a",$B$129+(($A134-E$132)*$B$127/(E$132-$B$11))*$B$128)</f>
        <v>517.93072242192</v>
      </c>
      <c r="F134" s="85" t="n">
        <f aca="false">IF(F$132&lt;=$B$11,"n/a",$B$129+(($A134-F$132)*$B$127/(F$132-$B$11))*$B$128)</f>
        <v>475.426319775754</v>
      </c>
      <c r="G134" s="85" t="n">
        <f aca="false">IF(G$132&lt;=$B$11,"n/a",$B$129+(($A134-G$132)*$B$127/(G$132-$B$11))*$B$128)</f>
        <v>439.46105599823</v>
      </c>
      <c r="H134" s="85" t="n">
        <f aca="false">IF(H$132&lt;=$B$11,"n/a",$B$129+(($A134-H$132)*$B$127/(H$132-$B$11))*$B$128)</f>
        <v>408.633687046066</v>
      </c>
    </row>
    <row r="135" customFormat="false" ht="15" hidden="false" customHeight="true" outlineLevel="0" collapsed="false">
      <c r="A135" s="84" t="n">
        <v>0.24</v>
      </c>
      <c r="B135" s="85" t="n">
        <f aca="false">IF(B$132&lt;=$B$11,"n/a",$B$129+(($A135-B$132)*$B$127/(B$132-$B$11))*$B$128)</f>
        <v>787.125272514301</v>
      </c>
      <c r="C135" s="85" t="n">
        <f aca="false">IF(C$132&lt;=$B$11,"n/a",$B$129+(($A135-C$132)*$B$127/(C$132-$B$11))*$B$128)</f>
        <v>700.542230086927</v>
      </c>
      <c r="D135" s="85" t="n">
        <f aca="false">IF(D$132&lt;=$B$11,"n/a",$B$129+(($A135-D$132)*$B$127/(D$132-$B$11))*$B$128)</f>
        <v>631.275796145028</v>
      </c>
      <c r="E135" s="85" t="n">
        <f aca="false">IF(E$132&lt;=$B$11,"n/a",$B$129+(($A135-E$132)*$B$127/(E$132-$B$11))*$B$128)</f>
        <v>574.603259283474</v>
      </c>
      <c r="F135" s="85" t="n">
        <f aca="false">IF(F$132&lt;=$B$11,"n/a",$B$129+(($A135-F$132)*$B$127/(F$132-$B$11))*$B$128)</f>
        <v>527.376145232179</v>
      </c>
      <c r="G135" s="85" t="n">
        <f aca="false">IF(G$132&lt;=$B$11,"n/a",$B$129+(($A135-G$132)*$B$127/(G$132-$B$11))*$B$128)</f>
        <v>487.414741034929</v>
      </c>
      <c r="H135" s="85" t="n">
        <f aca="false">IF(H$132&lt;=$B$11,"n/a",$B$129+(($A135-H$132)*$B$127/(H$132-$B$11))*$B$128)</f>
        <v>453.162108865858</v>
      </c>
    </row>
    <row r="136" customFormat="false" ht="15" hidden="false" customHeight="true" outlineLevel="0" collapsed="false">
      <c r="A136" s="84" t="n">
        <v>0.25</v>
      </c>
      <c r="B136" s="85" t="n">
        <f aca="false">IF(B$132&lt;=$B$11,"n/a",$B$129+(($A136-B$132)*$B$127/(B$132-$B$11))*$B$128)</f>
        <v>826.08764160662</v>
      </c>
      <c r="C136" s="85" t="n">
        <f aca="false">IF(C$132&lt;=$B$11,"n/a",$B$129+(($A136-C$132)*$B$127/(C$132-$B$11))*$B$128)</f>
        <v>735.175447057877</v>
      </c>
      <c r="D136" s="85" t="n">
        <f aca="false">IF(D$132&lt;=$B$11,"n/a",$B$129+(($A136-D$132)*$B$127/(D$132-$B$11))*$B$128)</f>
        <v>662.445691418883</v>
      </c>
      <c r="E136" s="85" t="n">
        <f aca="false">IF(E$132&lt;=$B$11,"n/a",$B$129+(($A136-E$132)*$B$127/(E$132-$B$11))*$B$128)</f>
        <v>602.939527714251</v>
      </c>
      <c r="F136" s="85" t="n">
        <f aca="false">IF(F$132&lt;=$B$11,"n/a",$B$129+(($A136-F$132)*$B$127/(F$132-$B$11))*$B$128)</f>
        <v>553.351057960391</v>
      </c>
      <c r="G136" s="85" t="n">
        <f aca="false">IF(G$132&lt;=$B$11,"n/a",$B$129+(($A136-G$132)*$B$127/(G$132-$B$11))*$B$128)</f>
        <v>511.391583553279</v>
      </c>
      <c r="H136" s="85" t="n">
        <f aca="false">IF(H$132&lt;=$B$11,"n/a",$B$129+(($A136-H$132)*$B$127/(H$132-$B$11))*$B$128)</f>
        <v>475.426319775754</v>
      </c>
    </row>
    <row r="137" customFormat="false" ht="15" hidden="false" customHeight="true" outlineLevel="0" collapsed="false">
      <c r="A137" s="84" t="n">
        <v>0.26</v>
      </c>
      <c r="B137" s="85" t="n">
        <f aca="false">IF(B$132&lt;=$B$11,"n/a",$B$129+(($A137-B$132)*$B$127/(B$132-$B$11))*$B$128)</f>
        <v>865.050010698938</v>
      </c>
      <c r="C137" s="85" t="n">
        <f aca="false">IF(C$132&lt;=$B$11,"n/a",$B$129+(($A137-C$132)*$B$127/(C$132-$B$11))*$B$128)</f>
        <v>769.808664028827</v>
      </c>
      <c r="D137" s="85" t="n">
        <f aca="false">IF(D$132&lt;=$B$11,"n/a",$B$129+(($A137-D$132)*$B$127/(D$132-$B$11))*$B$128)</f>
        <v>693.615586692737</v>
      </c>
      <c r="E137" s="85" t="n">
        <f aca="false">IF(E$132&lt;=$B$11,"n/a",$B$129+(($A137-E$132)*$B$127/(E$132-$B$11))*$B$128)</f>
        <v>631.275796145028</v>
      </c>
      <c r="F137" s="85" t="n">
        <f aca="false">IF(F$132&lt;=$B$11,"n/a",$B$129+(($A137-F$132)*$B$127/(F$132-$B$11))*$B$128)</f>
        <v>579.325970688603</v>
      </c>
      <c r="G137" s="85" t="n">
        <f aca="false">IF(G$132&lt;=$B$11,"n/a",$B$129+(($A137-G$132)*$B$127/(G$132-$B$11))*$B$128)</f>
        <v>535.368426071629</v>
      </c>
      <c r="H137" s="85" t="n">
        <f aca="false">IF(H$132&lt;=$B$11,"n/a",$B$129+(($A137-H$132)*$B$127/(H$132-$B$11))*$B$128)</f>
        <v>497.690530685651</v>
      </c>
    </row>
    <row r="138" customFormat="false" ht="15" hidden="false" customHeight="true" outlineLevel="0" collapsed="false">
      <c r="A138" s="84" t="n">
        <v>0.28</v>
      </c>
      <c r="B138" s="85" t="n">
        <f aca="false">IF(B$132&lt;=$B$11,"n/a",$B$129+(($A138-B$132)*$B$127/(B$132-$B$11))*$B$128)</f>
        <v>942.974748883575</v>
      </c>
      <c r="C138" s="85" t="n">
        <f aca="false">IF(C$132&lt;=$B$11,"n/a",$B$129+(($A138-C$132)*$B$127/(C$132-$B$11))*$B$128)</f>
        <v>839.075097970726</v>
      </c>
      <c r="D138" s="85" t="n">
        <f aca="false">IF(D$132&lt;=$B$11,"n/a",$B$129+(($A138-D$132)*$B$127/(D$132-$B$11))*$B$128)</f>
        <v>755.955377240447</v>
      </c>
      <c r="E138" s="85" t="n">
        <f aca="false">IF(E$132&lt;=$B$11,"n/a",$B$129+(($A138-E$132)*$B$127/(E$132-$B$11))*$B$128)</f>
        <v>687.948333006582</v>
      </c>
      <c r="F138" s="85" t="n">
        <f aca="false">IF(F$132&lt;=$B$11,"n/a",$B$129+(($A138-F$132)*$B$127/(F$132-$B$11))*$B$128)</f>
        <v>631.275796145028</v>
      </c>
      <c r="G138" s="85" t="n">
        <f aca="false">IF(G$132&lt;=$B$11,"n/a",$B$129+(($A138-G$132)*$B$127/(G$132-$B$11))*$B$128)</f>
        <v>583.322111108328</v>
      </c>
      <c r="H138" s="85" t="n">
        <f aca="false">IF(H$132&lt;=$B$11,"n/a",$B$129+(($A138-H$132)*$B$127/(H$132-$B$11))*$B$128)</f>
        <v>542.218952505443</v>
      </c>
    </row>
    <row r="139" customFormat="false" ht="15" hidden="false" customHeight="true" outlineLevel="0" collapsed="false">
      <c r="A139" s="84" t="n">
        <v>0.3</v>
      </c>
      <c r="B139" s="85" t="n">
        <f aca="false">IF(B$132&lt;=$B$11,"n/a",$B$129+(($A139-B$132)*$B$127/(B$132-$B$11))*$B$128)</f>
        <v>1020.89948706821</v>
      </c>
      <c r="C139" s="85" t="n">
        <f aca="false">IF(C$132&lt;=$B$11,"n/a",$B$129+(($A139-C$132)*$B$127/(C$132-$B$11))*$B$128)</f>
        <v>908.341531912625</v>
      </c>
      <c r="D139" s="85" t="n">
        <f aca="false">IF(D$132&lt;=$B$11,"n/a",$B$129+(($A139-D$132)*$B$127/(D$132-$B$11))*$B$128)</f>
        <v>818.295167788156</v>
      </c>
      <c r="E139" s="85" t="n">
        <f aca="false">IF(E$132&lt;=$B$11,"n/a",$B$129+(($A139-E$132)*$B$127/(E$132-$B$11))*$B$128)</f>
        <v>744.620869868136</v>
      </c>
      <c r="F139" s="85" t="n">
        <f aca="false">IF(F$132&lt;=$B$11,"n/a",$B$129+(($A139-F$132)*$B$127/(F$132-$B$11))*$B$128)</f>
        <v>683.225621601452</v>
      </c>
      <c r="G139" s="85" t="n">
        <f aca="false">IF(G$132&lt;=$B$11,"n/a",$B$129+(($A139-G$132)*$B$127/(G$132-$B$11))*$B$128)</f>
        <v>631.275796145028</v>
      </c>
      <c r="H139" s="85" t="n">
        <f aca="false">IF(H$132&lt;=$B$11,"n/a",$B$129+(($A139-H$132)*$B$127/(H$132-$B$11))*$B$128)</f>
        <v>586.747374325236</v>
      </c>
    </row>
    <row r="140" customFormat="false" ht="15.75" hidden="false" customHeight="true" outlineLevel="0" collapsed="false"/>
    <row r="141" customFormat="false" ht="16.5" hidden="false" customHeight="true" outlineLevel="0" collapsed="false">
      <c r="A141" s="14" t="str">
        <f aca="false">"Current price of "&amp;TEXT($B$5,"$#,##0")&amp;" - only cells at or above this level justify buying."</f>
        <v>Current price of $900 - only cells at or above this level justify buying.</v>
      </c>
      <c r="B141" s="14"/>
      <c r="C141" s="14"/>
      <c r="D141" s="14"/>
      <c r="E141" s="14"/>
      <c r="F141" s="14"/>
      <c r="G141" s="14"/>
      <c r="H141" s="14"/>
      <c r="I141" s="14"/>
    </row>
    <row r="142" customFormat="false" ht="15.75" hidden="false" customHeight="true" outlineLevel="0" collapsed="false"/>
    <row r="143" customFormat="false" ht="16.5" hidden="false" customHeight="true" outlineLevel="0" collapsed="false">
      <c r="A143" s="8" t="s">
        <v>1109</v>
      </c>
      <c r="B143" s="8"/>
      <c r="C143" s="8"/>
      <c r="D143" s="8"/>
      <c r="E143" s="8"/>
      <c r="F143" s="8"/>
      <c r="G143" s="8"/>
      <c r="H143" s="8"/>
      <c r="I143" s="8"/>
    </row>
    <row r="144" customFormat="false" ht="29.25" hidden="false" customHeight="true" outlineLevel="0" collapsed="false">
      <c r="A144" s="25" t="s">
        <v>1110</v>
      </c>
      <c r="B144" s="25" t="s">
        <v>1111</v>
      </c>
      <c r="C144" s="91" t="s">
        <v>1112</v>
      </c>
      <c r="D144" s="25" t="s">
        <v>634</v>
      </c>
      <c r="E144" s="25"/>
      <c r="F144" s="25"/>
      <c r="G144" s="25"/>
      <c r="H144" s="25"/>
      <c r="I144" s="25"/>
    </row>
    <row r="145" customFormat="false" ht="15" hidden="false" customHeight="true" outlineLevel="0" collapsed="false">
      <c r="A145" s="86" t="n">
        <v>0.12</v>
      </c>
      <c r="B145" s="82" t="n">
        <f aca="false">(($B$5-$B$129)/$B$128)*(A145-$B$11)/$B$127+A145</f>
        <v>0.268970191011294</v>
      </c>
      <c r="C145" s="63" t="str">
        <f aca="false">IF(AND(B145&gt;=0.2,B145&lt;=0.3),"Inside band","Outside band")</f>
        <v>Inside band</v>
      </c>
      <c r="D145" s="10" t="str">
        <f aca="false">IF(B145&lt;=0.3,"At this discount rate the conservative band can explain the current price","Even the 30% band ceiling cannot explain the current price")</f>
        <v>At this discount rate the conservative band can explain the current price</v>
      </c>
      <c r="E145" s="10"/>
      <c r="F145" s="10"/>
      <c r="G145" s="10"/>
      <c r="H145" s="10"/>
      <c r="I145" s="10"/>
    </row>
    <row r="146" customFormat="false" ht="15" hidden="false" customHeight="true" outlineLevel="0" collapsed="false">
      <c r="A146" s="86" t="n">
        <v>0.13</v>
      </c>
      <c r="B146" s="82" t="n">
        <f aca="false">(($B$5-$B$129)/$B$128)*(A146-$B$11)/$B$127+A146</f>
        <v>0.297591464887705</v>
      </c>
      <c r="C146" s="63" t="str">
        <f aca="false">IF(AND(B146&gt;=0.2,B146&lt;=0.3),"Inside band","Outside band")</f>
        <v>Inside band</v>
      </c>
      <c r="D146" s="10" t="str">
        <f aca="false">IF(B146&lt;=0.3,"At this discount rate the conservative band can explain the current price","Even the 30% band ceiling cannot explain the current price")</f>
        <v>At this discount rate the conservative band can explain the current price</v>
      </c>
      <c r="E146" s="10"/>
      <c r="F146" s="10"/>
      <c r="G146" s="10"/>
      <c r="H146" s="10"/>
      <c r="I146" s="10"/>
    </row>
    <row r="147" customFormat="false" ht="15" hidden="false" customHeight="true" outlineLevel="0" collapsed="false">
      <c r="A147" s="86" t="n">
        <v>0.14</v>
      </c>
      <c r="B147" s="82" t="n">
        <f aca="false">(($B$5-$B$129)/$B$128)*(A147-$B$11)/$B$127+A147</f>
        <v>0.326212738764117</v>
      </c>
      <c r="C147" s="63" t="str">
        <f aca="false">IF(AND(B147&gt;=0.2,B147&lt;=0.3),"Inside band","Outside band")</f>
        <v>Outside band</v>
      </c>
      <c r="D147" s="10" t="str">
        <f aca="false">IF(B147&lt;=0.3,"At this discount rate the conservative band can explain the current price","Even the 30% band ceiling cannot explain the current price")</f>
        <v>Even the 30% band ceiling cannot explain the current price</v>
      </c>
      <c r="E147" s="10"/>
      <c r="F147" s="10"/>
      <c r="G147" s="10"/>
      <c r="H147" s="10"/>
      <c r="I147" s="10"/>
    </row>
    <row r="148" customFormat="false" ht="15" hidden="false" customHeight="true" outlineLevel="0" collapsed="false">
      <c r="A148" s="86" t="n">
        <v>0.15</v>
      </c>
      <c r="B148" s="82" t="n">
        <f aca="false">(($B$5-$B$129)/$B$128)*(A148-$B$11)/$B$127+A148</f>
        <v>0.354834012640529</v>
      </c>
      <c r="C148" s="63" t="str">
        <f aca="false">IF(AND(B148&gt;=0.2,B148&lt;=0.3),"Inside band","Outside band")</f>
        <v>Outside band</v>
      </c>
      <c r="D148" s="10" t="str">
        <f aca="false">IF(B148&lt;=0.3,"At this discount rate the conservative band can explain the current price","Even the 30% band ceiling cannot explain the current price")</f>
        <v>Even the 30% band ceiling cannot explain the current price</v>
      </c>
      <c r="E148" s="10"/>
      <c r="F148" s="10"/>
      <c r="G148" s="10"/>
      <c r="H148" s="10"/>
      <c r="I148" s="10"/>
    </row>
    <row r="149" customFormat="false" ht="15" hidden="false" customHeight="true" outlineLevel="0" collapsed="false">
      <c r="A149" s="86" t="n">
        <v>0.16</v>
      </c>
      <c r="B149" s="82" t="n">
        <f aca="false">(($B$5-$B$129)/$B$128)*(A149-$B$11)/$B$127+A149</f>
        <v>0.383455286516941</v>
      </c>
      <c r="C149" s="63" t="str">
        <f aca="false">IF(AND(B149&gt;=0.2,B149&lt;=0.3),"Inside band","Outside band")</f>
        <v>Outside band</v>
      </c>
      <c r="D149" s="10" t="str">
        <f aca="false">IF(B149&lt;=0.3,"At this discount rate the conservative band can explain the current price","Even the 30% band ceiling cannot explain the current price")</f>
        <v>Even the 30% band ceiling cannot explain the current price</v>
      </c>
      <c r="E149" s="10"/>
      <c r="F149" s="10"/>
      <c r="G149" s="10"/>
      <c r="H149" s="10"/>
      <c r="I149" s="10"/>
    </row>
    <row r="150" customFormat="false" ht="15" hidden="false" customHeight="true" outlineLevel="0" collapsed="false">
      <c r="A150" s="86" t="n">
        <v>0.17</v>
      </c>
      <c r="B150" s="82" t="n">
        <f aca="false">(($B$5-$B$129)/$B$128)*(A150-$B$11)/$B$127+A150</f>
        <v>0.412076560393352</v>
      </c>
      <c r="C150" s="63" t="str">
        <f aca="false">IF(AND(B150&gt;=0.2,B150&lt;=0.3),"Inside band","Outside band")</f>
        <v>Outside band</v>
      </c>
      <c r="D150" s="10" t="str">
        <f aca="false">IF(B150&lt;=0.3,"At this discount rate the conservative band can explain the current price","Even the 30% band ceiling cannot explain the current price")</f>
        <v>Even the 30% band ceiling cannot explain the current price</v>
      </c>
      <c r="E150" s="10"/>
      <c r="F150" s="10"/>
      <c r="G150" s="10"/>
      <c r="H150" s="10"/>
      <c r="I150" s="10"/>
    </row>
    <row r="151" customFormat="false" ht="15" hidden="false" customHeight="true" outlineLevel="0" collapsed="false">
      <c r="A151" s="86" t="n">
        <v>0.18</v>
      </c>
      <c r="B151" s="82" t="n">
        <f aca="false">(($B$5-$B$129)/$B$128)*(A151-$B$11)/$B$127+A151</f>
        <v>0.440697834269764</v>
      </c>
      <c r="C151" s="63" t="str">
        <f aca="false">IF(AND(B151&gt;=0.2,B151&lt;=0.3),"Inside band","Outside band")</f>
        <v>Outside band</v>
      </c>
      <c r="D151" s="10" t="str">
        <f aca="false">IF(B151&lt;=0.3,"At this discount rate the conservative band can explain the current price","Even the 30% band ceiling cannot explain the current price")</f>
        <v>Even the 30% band ceiling cannot explain the current price</v>
      </c>
      <c r="E151" s="10"/>
      <c r="F151" s="10"/>
      <c r="G151" s="10"/>
      <c r="H151" s="10"/>
      <c r="I151" s="10"/>
    </row>
    <row r="152" customFormat="false" ht="15.75" hidden="false" customHeight="true" outlineLevel="0" collapsed="false"/>
    <row r="153" customFormat="false" ht="15" hidden="false" customHeight="true" outlineLevel="0" collapsed="false">
      <c r="A153" s="8" t="s">
        <v>1113</v>
      </c>
      <c r="B153" s="8"/>
      <c r="C153" s="8"/>
      <c r="D153" s="8"/>
      <c r="E153" s="8"/>
      <c r="F153" s="8"/>
      <c r="G153" s="8"/>
      <c r="H153" s="8"/>
      <c r="I153" s="8"/>
    </row>
    <row r="154" customFormat="false" ht="25.5" hidden="false" customHeight="true" outlineLevel="0" collapsed="false">
      <c r="A154" s="36" t="s">
        <v>1114</v>
      </c>
      <c r="B154" s="36"/>
      <c r="C154" s="36"/>
      <c r="D154" s="36"/>
      <c r="E154" s="36"/>
      <c r="F154" s="36"/>
      <c r="G154" s="36"/>
      <c r="H154" s="36"/>
      <c r="I154" s="36"/>
    </row>
    <row r="155" customFormat="false" ht="25.5" hidden="false" customHeight="true" outlineLevel="0" collapsed="false">
      <c r="A155" s="37" t="s">
        <v>1115</v>
      </c>
      <c r="B155" s="37"/>
      <c r="C155" s="37"/>
      <c r="D155" s="37"/>
      <c r="E155" s="37"/>
      <c r="F155" s="37"/>
      <c r="G155" s="37"/>
      <c r="H155" s="37"/>
      <c r="I155" s="37"/>
    </row>
    <row r="156" customFormat="false" ht="25.5" hidden="false" customHeight="true" outlineLevel="0" collapsed="false">
      <c r="A156" s="36" t="s">
        <v>1116</v>
      </c>
      <c r="B156" s="36"/>
      <c r="C156" s="36"/>
      <c r="D156" s="36"/>
      <c r="E156" s="36"/>
      <c r="F156" s="36"/>
      <c r="G156" s="36"/>
      <c r="H156" s="36"/>
      <c r="I156" s="36"/>
    </row>
    <row r="157" customFormat="false" ht="25.5" hidden="false" customHeight="true" outlineLevel="0" collapsed="false">
      <c r="A157" s="37" t="s">
        <v>1117</v>
      </c>
      <c r="B157" s="37"/>
      <c r="C157" s="37"/>
      <c r="D157" s="37"/>
      <c r="E157" s="37"/>
      <c r="F157" s="37"/>
      <c r="G157" s="37"/>
      <c r="H157" s="37"/>
      <c r="I157" s="37"/>
    </row>
    <row r="158" customFormat="false" ht="25.5" hidden="false" customHeight="true" outlineLevel="0" collapsed="false">
      <c r="A158" s="36" t="s">
        <v>1118</v>
      </c>
      <c r="B158" s="36"/>
      <c r="C158" s="36"/>
      <c r="D158" s="36"/>
      <c r="E158" s="36"/>
      <c r="F158" s="36"/>
      <c r="G158" s="36"/>
      <c r="H158" s="36"/>
      <c r="I158" s="36"/>
    </row>
    <row r="159" customFormat="false" ht="15.75" hidden="false" customHeight="true" outlineLevel="0" collapsed="false"/>
    <row r="160" customFormat="false" ht="15.75" hidden="false" customHeight="true" outlineLevel="0" collapsed="false"/>
    <row r="161" customFormat="false" ht="16.5" hidden="false" customHeight="true" outlineLevel="0" collapsed="false">
      <c r="A161" s="24" t="s">
        <v>1119</v>
      </c>
      <c r="B161" s="24"/>
      <c r="C161" s="24"/>
      <c r="D161" s="24"/>
      <c r="E161" s="24"/>
      <c r="F161" s="24"/>
      <c r="G161" s="24"/>
      <c r="H161" s="24"/>
      <c r="I161" s="24"/>
    </row>
    <row r="162" customFormat="false" ht="13.5" hidden="false" customHeight="true" outlineLevel="0" collapsed="false">
      <c r="A162" s="57" t="s">
        <v>1120</v>
      </c>
      <c r="B162" s="57"/>
      <c r="C162" s="57"/>
      <c r="D162" s="57"/>
      <c r="E162" s="57"/>
      <c r="F162" s="57"/>
      <c r="G162" s="57"/>
      <c r="H162" s="57"/>
      <c r="I162" s="57"/>
    </row>
    <row r="163" customFormat="false" ht="27.75" hidden="false" customHeight="true" outlineLevel="0" collapsed="false">
      <c r="A163" s="25" t="s">
        <v>96</v>
      </c>
      <c r="B163" s="25" t="s">
        <v>1121</v>
      </c>
      <c r="C163" s="91" t="s">
        <v>280</v>
      </c>
      <c r="D163" s="25" t="s">
        <v>1122</v>
      </c>
      <c r="E163" s="25" t="s">
        <v>1123</v>
      </c>
      <c r="F163" s="25" t="s">
        <v>480</v>
      </c>
    </row>
    <row r="164" customFormat="false" ht="15" hidden="false" customHeight="true" outlineLevel="0" collapsed="false">
      <c r="A164" s="132" t="s">
        <v>1124</v>
      </c>
      <c r="B164" s="53" t="n">
        <f aca="false">Consensus!C24</f>
        <v>48.4</v>
      </c>
      <c r="C164" s="79" t="n">
        <f aca="false">HistoricalCycle!F11</f>
        <v>0.1718</v>
      </c>
      <c r="D164" s="52" t="n">
        <f aca="false">B164*C164</f>
        <v>8.31512</v>
      </c>
      <c r="E164" s="88" t="n">
        <f aca="false">D164*Assumptions!$B$6</f>
        <v>9396.0856</v>
      </c>
      <c r="F164" s="123" t="s">
        <v>1125</v>
      </c>
    </row>
    <row r="165" customFormat="false" ht="15" hidden="false" customHeight="true" outlineLevel="0" collapsed="false">
      <c r="A165" s="132" t="s">
        <v>1126</v>
      </c>
      <c r="B165" s="53" t="n">
        <f aca="false">Assumptions!B7</f>
        <v>89.22</v>
      </c>
      <c r="C165" s="60" t="n">
        <v>0.6664</v>
      </c>
      <c r="D165" s="52" t="n">
        <f aca="false">B165*C165</f>
        <v>59.456208</v>
      </c>
      <c r="E165" s="88" t="n">
        <f aca="false">D165*Assumptions!$B$6</f>
        <v>67185.51504</v>
      </c>
      <c r="F165" s="123" t="s">
        <v>1125</v>
      </c>
    </row>
    <row r="166" customFormat="false" ht="15" hidden="false" customHeight="true" outlineLevel="0" collapsed="false">
      <c r="A166" s="66" t="s">
        <v>474</v>
      </c>
      <c r="B166" s="53" t="n">
        <f aca="false">Consensus!D24</f>
        <v>118.72</v>
      </c>
      <c r="C166" s="79" t="n">
        <f aca="false">Consensus!D27</f>
        <v>0.844</v>
      </c>
      <c r="D166" s="52" t="n">
        <f aca="false">B166*C166</f>
        <v>100.19968</v>
      </c>
      <c r="E166" s="88" t="n">
        <f aca="false">D166*Assumptions!$B$6</f>
        <v>113225.6384</v>
      </c>
      <c r="F166" s="158" t="s">
        <v>1127</v>
      </c>
    </row>
    <row r="167" customFormat="false" ht="15" hidden="false" customHeight="true" outlineLevel="0" collapsed="false">
      <c r="A167" s="66" t="s">
        <v>475</v>
      </c>
      <c r="B167" s="53" t="n">
        <f aca="false">Consensus!E24</f>
        <v>259.02</v>
      </c>
      <c r="C167" s="79" t="n">
        <f aca="false">Consensus!E27</f>
        <v>0.7384</v>
      </c>
      <c r="D167" s="52" t="n">
        <f aca="false">B167*C167</f>
        <v>191.260368</v>
      </c>
      <c r="E167" s="88" t="n">
        <f aca="false">D167*Assumptions!$B$6</f>
        <v>216124.21584</v>
      </c>
      <c r="F167" s="158" t="s">
        <v>1128</v>
      </c>
    </row>
    <row r="168" customFormat="false" ht="15" hidden="false" customHeight="true" outlineLevel="0" collapsed="false">
      <c r="A168" s="133" t="s">
        <v>476</v>
      </c>
      <c r="B168" s="53" t="n">
        <f aca="false">Consensus!F24</f>
        <v>437.94</v>
      </c>
      <c r="C168" s="79" t="n">
        <f aca="false">Consensus!F27</f>
        <v>0.4486</v>
      </c>
      <c r="D168" s="52" t="n">
        <f aca="false">B168*C168</f>
        <v>196.459884</v>
      </c>
      <c r="E168" s="88" t="n">
        <f aca="false">D168*Assumptions!$B$6</f>
        <v>221999.66892</v>
      </c>
      <c r="F168" s="158" t="s">
        <v>1129</v>
      </c>
    </row>
    <row r="169" customFormat="false" ht="15" hidden="false" customHeight="true" outlineLevel="0" collapsed="false">
      <c r="A169" s="135" t="s">
        <v>477</v>
      </c>
      <c r="B169" s="53" t="n">
        <f aca="false">Consensus!G24</f>
        <v>643.7</v>
      </c>
      <c r="C169" s="79" t="n">
        <f aca="false">Consensus!G27</f>
        <v>0.296</v>
      </c>
      <c r="D169" s="52" t="n">
        <f aca="false">B169*C169</f>
        <v>190.5352</v>
      </c>
      <c r="E169" s="88" t="n">
        <f aca="false">D169*Assumptions!$B$6</f>
        <v>215304.776</v>
      </c>
      <c r="F169" s="158" t="s">
        <v>1130</v>
      </c>
    </row>
    <row r="170" customFormat="false" ht="16.5" hidden="false" customHeight="true" outlineLevel="0" collapsed="false">
      <c r="A170" s="77" t="s">
        <v>1131</v>
      </c>
      <c r="B170" s="77"/>
      <c r="C170" s="77"/>
      <c r="D170" s="77"/>
      <c r="E170" s="77"/>
      <c r="F170" s="77"/>
      <c r="G170" s="77"/>
      <c r="H170" s="77"/>
      <c r="I170" s="77"/>
    </row>
    <row r="171" customFormat="false" ht="15.75" hidden="false" customHeight="true" outlineLevel="0" collapsed="false"/>
    <row r="172" customFormat="false" ht="16.5" hidden="false" customHeight="true" outlineLevel="0" collapsed="false">
      <c r="A172" s="8" t="s">
        <v>1132</v>
      </c>
      <c r="B172" s="8"/>
      <c r="C172" s="8"/>
      <c r="D172" s="8"/>
      <c r="E172" s="8"/>
      <c r="F172" s="8"/>
      <c r="G172" s="8"/>
      <c r="H172" s="8"/>
      <c r="I172" s="8"/>
    </row>
    <row r="173" customFormat="false" ht="25.5" hidden="false" customHeight="true" outlineLevel="0" collapsed="false">
      <c r="A173" s="25" t="s">
        <v>1090</v>
      </c>
      <c r="B173" s="25" t="s">
        <v>1122</v>
      </c>
      <c r="C173" s="25" t="s">
        <v>1133</v>
      </c>
      <c r="D173" s="25" t="s">
        <v>1134</v>
      </c>
      <c r="E173" s="25"/>
      <c r="F173" s="25"/>
      <c r="G173" s="25"/>
      <c r="H173" s="25" t="s">
        <v>1135</v>
      </c>
      <c r="I173" s="25" t="s">
        <v>447</v>
      </c>
    </row>
    <row r="174" customFormat="false" ht="15" hidden="false" customHeight="true" outlineLevel="0" collapsed="false">
      <c r="A174" s="159" t="n">
        <v>0.078</v>
      </c>
      <c r="B174" s="52" t="n">
        <f aca="false">$B$127*A174</f>
        <v>34.15932</v>
      </c>
      <c r="C174" s="160" t="n">
        <f aca="false">B174*Assumptions!$B$6</f>
        <v>38600.0316</v>
      </c>
      <c r="D174" s="10" t="s">
        <v>1051</v>
      </c>
      <c r="E174" s="10"/>
      <c r="F174" s="10"/>
      <c r="G174" s="10"/>
      <c r="H174" s="161" t="n">
        <f aca="false">C174/Assumptions!$B$20</f>
        <v>0.764826558877727</v>
      </c>
      <c r="I174" s="44" t="s">
        <v>1136</v>
      </c>
    </row>
    <row r="175" customFormat="false" ht="15" hidden="false" customHeight="true" outlineLevel="0" collapsed="false">
      <c r="A175" s="159" t="n">
        <v>0.185</v>
      </c>
      <c r="B175" s="52" t="n">
        <f aca="false">$B$127*A175</f>
        <v>81.0189</v>
      </c>
      <c r="C175" s="160" t="n">
        <f aca="false">B175*Assumptions!$B$6</f>
        <v>91551.357</v>
      </c>
      <c r="D175" s="10" t="s">
        <v>1052</v>
      </c>
      <c r="E175" s="10"/>
      <c r="F175" s="10"/>
      <c r="G175" s="10"/>
      <c r="H175" s="161" t="n">
        <f aca="false">C175/Assumptions!$B$20</f>
        <v>1.81401171015871</v>
      </c>
      <c r="I175" s="44" t="s">
        <v>1136</v>
      </c>
    </row>
    <row r="176" customFormat="false" ht="15" hidden="false" customHeight="true" outlineLevel="0" collapsed="false">
      <c r="A176" s="69" t="n">
        <v>0.2</v>
      </c>
      <c r="B176" s="52" t="n">
        <f aca="false">$B$127*A176</f>
        <v>87.588</v>
      </c>
      <c r="C176" s="88" t="n">
        <f aca="false">B176*Assumptions!$B$6</f>
        <v>98974.44</v>
      </c>
      <c r="D176" s="10" t="s">
        <v>1137</v>
      </c>
      <c r="E176" s="10"/>
      <c r="F176" s="10"/>
      <c r="G176" s="10"/>
      <c r="H176" s="161" t="n">
        <f aca="false">C176/Assumptions!$B$20</f>
        <v>1.96109374071212</v>
      </c>
      <c r="I176" s="44" t="s">
        <v>1136</v>
      </c>
    </row>
    <row r="177" customFormat="false" ht="15" hidden="false" customHeight="true" outlineLevel="0" collapsed="false">
      <c r="A177" s="69" t="n">
        <v>0.25</v>
      </c>
      <c r="B177" s="52" t="n">
        <f aca="false">$B$127*A177</f>
        <v>109.485</v>
      </c>
      <c r="C177" s="88" t="n">
        <f aca="false">B177*Assumptions!$B$6</f>
        <v>123718.05</v>
      </c>
      <c r="D177" s="10" t="s">
        <v>1138</v>
      </c>
      <c r="E177" s="10"/>
      <c r="F177" s="10"/>
      <c r="G177" s="10"/>
      <c r="H177" s="161" t="n">
        <f aca="false">C177/Assumptions!$B$20</f>
        <v>2.45136717589015</v>
      </c>
      <c r="I177" s="44" t="s">
        <v>1136</v>
      </c>
    </row>
    <row r="178" customFormat="false" ht="15" hidden="false" customHeight="true" outlineLevel="0" collapsed="false">
      <c r="A178" s="162" t="n">
        <v>0.3</v>
      </c>
      <c r="B178" s="52" t="n">
        <f aca="false">$B$127*A178</f>
        <v>131.382</v>
      </c>
      <c r="C178" s="65" t="n">
        <f aca="false">B178*Assumptions!$B$6</f>
        <v>148461.66</v>
      </c>
      <c r="D178" s="10" t="s">
        <v>1139</v>
      </c>
      <c r="E178" s="10"/>
      <c r="F178" s="10"/>
      <c r="G178" s="10"/>
      <c r="H178" s="161" t="n">
        <f aca="false">C178/Assumptions!$B$20</f>
        <v>2.94164061106818</v>
      </c>
      <c r="I178" s="44" t="s">
        <v>1136</v>
      </c>
    </row>
    <row r="179" customFormat="false" ht="15" hidden="false" customHeight="true" outlineLevel="0" collapsed="false">
      <c r="A179" s="60" t="n">
        <v>0.449</v>
      </c>
      <c r="B179" s="52" t="n">
        <f aca="false">$B$127*A179</f>
        <v>196.63506</v>
      </c>
      <c r="C179" s="45" t="n">
        <f aca="false">B179*Assumptions!$B$6</f>
        <v>222197.6178</v>
      </c>
      <c r="D179" s="50" t="s">
        <v>1140</v>
      </c>
      <c r="E179" s="50"/>
      <c r="F179" s="50"/>
      <c r="G179" s="50"/>
      <c r="H179" s="161" t="n">
        <f aca="false">C179/Assumptions!$B$20</f>
        <v>4.40265544789871</v>
      </c>
      <c r="I179" s="44" t="s">
        <v>1136</v>
      </c>
    </row>
    <row r="180" customFormat="false" ht="15" hidden="false" customHeight="true" outlineLevel="0" collapsed="false">
      <c r="A180" s="60" t="n">
        <v>0.6664</v>
      </c>
      <c r="B180" s="52" t="n">
        <f aca="false">$B$127*A180</f>
        <v>291.843216</v>
      </c>
      <c r="C180" s="45" t="n">
        <f aca="false">B180*Assumptions!$B$6</f>
        <v>329782.83408</v>
      </c>
      <c r="D180" s="10" t="s">
        <v>1141</v>
      </c>
      <c r="E180" s="10"/>
      <c r="F180" s="10"/>
      <c r="G180" s="10"/>
      <c r="H180" s="161" t="n">
        <f aca="false">C180/Assumptions!$B$20</f>
        <v>6.53436434405278</v>
      </c>
      <c r="I180" s="44" t="s">
        <v>1136</v>
      </c>
    </row>
    <row r="181" customFormat="false" ht="16.5" hidden="false" customHeight="true" outlineLevel="0" collapsed="false">
      <c r="A181" s="14" t="s">
        <v>1142</v>
      </c>
      <c r="B181" s="14"/>
      <c r="C181" s="14"/>
      <c r="D181" s="14"/>
      <c r="E181" s="14"/>
      <c r="F181" s="14"/>
      <c r="G181" s="14"/>
      <c r="H181" s="14"/>
      <c r="I181" s="14"/>
    </row>
    <row r="182" customFormat="false" ht="16.5" hidden="false" customHeight="true" outlineLevel="0" collapsed="false">
      <c r="A182" s="14" t="s">
        <v>1143</v>
      </c>
      <c r="B182" s="14"/>
      <c r="C182" s="14"/>
      <c r="D182" s="14"/>
      <c r="E182" s="14"/>
      <c r="F182" s="14"/>
      <c r="G182" s="14"/>
      <c r="H182" s="14"/>
      <c r="I182" s="14"/>
    </row>
    <row r="183" customFormat="false" ht="15.75" hidden="false" customHeight="true" outlineLevel="0" collapsed="false"/>
    <row r="184" customFormat="false" ht="15" hidden="false" customHeight="true" outlineLevel="0" collapsed="false">
      <c r="A184" s="8" t="s">
        <v>1144</v>
      </c>
      <c r="B184" s="8"/>
      <c r="C184" s="8"/>
      <c r="D184" s="8"/>
      <c r="E184" s="8"/>
      <c r="F184" s="8"/>
      <c r="G184" s="8"/>
      <c r="H184" s="8"/>
      <c r="I184" s="8"/>
    </row>
    <row r="185" customFormat="false" ht="25.5" hidden="false" customHeight="true" outlineLevel="0" collapsed="false">
      <c r="A185" s="136" t="s">
        <v>1145</v>
      </c>
      <c r="B185" s="136"/>
      <c r="C185" s="136"/>
      <c r="D185" s="136"/>
      <c r="E185" s="136"/>
      <c r="F185" s="136"/>
      <c r="G185" s="136"/>
      <c r="H185" s="136"/>
      <c r="I185" s="136"/>
    </row>
    <row r="186" customFormat="false" ht="25.5" hidden="false" customHeight="true" outlineLevel="0" collapsed="false">
      <c r="A186" s="36" t="s">
        <v>1146</v>
      </c>
      <c r="B186" s="36"/>
      <c r="C186" s="36"/>
      <c r="D186" s="36"/>
      <c r="E186" s="36"/>
      <c r="F186" s="36"/>
      <c r="G186" s="36"/>
      <c r="H186" s="36"/>
      <c r="I186" s="36"/>
    </row>
    <row r="187" customFormat="false" ht="25.5" hidden="false" customHeight="true" outlineLevel="0" collapsed="false">
      <c r="A187" s="36" t="s">
        <v>1147</v>
      </c>
      <c r="B187" s="36"/>
      <c r="C187" s="36"/>
      <c r="D187" s="36"/>
      <c r="E187" s="36"/>
      <c r="F187" s="36"/>
      <c r="G187" s="36"/>
      <c r="H187" s="36"/>
      <c r="I187" s="36"/>
    </row>
    <row r="188" customFormat="false" ht="25.5" hidden="false" customHeight="true" outlineLevel="0" collapsed="false">
      <c r="A188" s="36" t="s">
        <v>1148</v>
      </c>
      <c r="B188" s="36"/>
      <c r="C188" s="36"/>
      <c r="D188" s="36"/>
      <c r="E188" s="36"/>
      <c r="F188" s="36"/>
      <c r="G188" s="36"/>
      <c r="H188" s="36"/>
      <c r="I188" s="36"/>
    </row>
    <row r="189" customFormat="false" ht="25.5" hidden="false" customHeight="true" outlineLevel="0" collapsed="false">
      <c r="A189" s="37" t="s">
        <v>1149</v>
      </c>
      <c r="B189" s="37"/>
      <c r="C189" s="37"/>
      <c r="D189" s="37"/>
      <c r="E189" s="37"/>
      <c r="F189" s="37"/>
      <c r="G189" s="37"/>
      <c r="H189" s="37"/>
      <c r="I189" s="37"/>
    </row>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mergeCells count="120">
    <mergeCell ref="A1:H1"/>
    <mergeCell ref="A2:H2"/>
    <mergeCell ref="A4:H4"/>
    <mergeCell ref="C5:H5"/>
    <mergeCell ref="C6:H6"/>
    <mergeCell ref="C7:H7"/>
    <mergeCell ref="C8:H8"/>
    <mergeCell ref="C9:H9"/>
    <mergeCell ref="C10:H10"/>
    <mergeCell ref="C11:H11"/>
    <mergeCell ref="A12:H12"/>
    <mergeCell ref="A14:H14"/>
    <mergeCell ref="A25:H25"/>
    <mergeCell ref="C26:H26"/>
    <mergeCell ref="C27:H27"/>
    <mergeCell ref="C28:H28"/>
    <mergeCell ref="C29:H29"/>
    <mergeCell ref="C30:H30"/>
    <mergeCell ref="C31:H31"/>
    <mergeCell ref="C32:H32"/>
    <mergeCell ref="C33:H33"/>
    <mergeCell ref="A35:H35"/>
    <mergeCell ref="A36:H36"/>
    <mergeCell ref="C37:H37"/>
    <mergeCell ref="C38:H38"/>
    <mergeCell ref="C39:H39"/>
    <mergeCell ref="C40:H40"/>
    <mergeCell ref="A41:H41"/>
    <mergeCell ref="A43:H43"/>
    <mergeCell ref="A53:H53"/>
    <mergeCell ref="A54:H54"/>
    <mergeCell ref="A56:H56"/>
    <mergeCell ref="A57:H57"/>
    <mergeCell ref="A58:H58"/>
    <mergeCell ref="A59:H59"/>
    <mergeCell ref="A60:H60"/>
    <mergeCell ref="A61:H61"/>
    <mergeCell ref="A62:H62"/>
    <mergeCell ref="A64:H64"/>
    <mergeCell ref="A65:H65"/>
    <mergeCell ref="A76:H76"/>
    <mergeCell ref="A77:H77"/>
    <mergeCell ref="A78:H78"/>
    <mergeCell ref="A79:H79"/>
    <mergeCell ref="A81:H81"/>
    <mergeCell ref="F82:H82"/>
    <mergeCell ref="F83:H83"/>
    <mergeCell ref="F84:H84"/>
    <mergeCell ref="F85:H85"/>
    <mergeCell ref="F86:H86"/>
    <mergeCell ref="F87:H87"/>
    <mergeCell ref="A88:H88"/>
    <mergeCell ref="A89:H89"/>
    <mergeCell ref="A91:H91"/>
    <mergeCell ref="A92:H92"/>
    <mergeCell ref="C93:H93"/>
    <mergeCell ref="C94:H94"/>
    <mergeCell ref="C95:H95"/>
    <mergeCell ref="C96:H96"/>
    <mergeCell ref="C97:H97"/>
    <mergeCell ref="C98:H98"/>
    <mergeCell ref="C99:H99"/>
    <mergeCell ref="C100:H100"/>
    <mergeCell ref="C101:H101"/>
    <mergeCell ref="C102:H102"/>
    <mergeCell ref="C103:H103"/>
    <mergeCell ref="C104:H104"/>
    <mergeCell ref="A106:H106"/>
    <mergeCell ref="F107:H107"/>
    <mergeCell ref="F108:H108"/>
    <mergeCell ref="F109:H109"/>
    <mergeCell ref="F110:H110"/>
    <mergeCell ref="F111:H111"/>
    <mergeCell ref="F112:H112"/>
    <mergeCell ref="F113:H113"/>
    <mergeCell ref="A115:H115"/>
    <mergeCell ref="A116:H116"/>
    <mergeCell ref="A117:H117"/>
    <mergeCell ref="A118:H118"/>
    <mergeCell ref="A119:H119"/>
    <mergeCell ref="A121:I121"/>
    <mergeCell ref="A122:I122"/>
    <mergeCell ref="A123:I123"/>
    <mergeCell ref="A131:I131"/>
    <mergeCell ref="A141:I141"/>
    <mergeCell ref="A143:I143"/>
    <mergeCell ref="D144:I144"/>
    <mergeCell ref="D145:I145"/>
    <mergeCell ref="D146:I146"/>
    <mergeCell ref="D147:I147"/>
    <mergeCell ref="D148:I148"/>
    <mergeCell ref="D149:I149"/>
    <mergeCell ref="D150:I150"/>
    <mergeCell ref="D151:I151"/>
    <mergeCell ref="A153:I153"/>
    <mergeCell ref="A154:I154"/>
    <mergeCell ref="A155:I155"/>
    <mergeCell ref="A156:I156"/>
    <mergeCell ref="A157:I157"/>
    <mergeCell ref="A158:I158"/>
    <mergeCell ref="A161:I161"/>
    <mergeCell ref="A162:I162"/>
    <mergeCell ref="A170:I170"/>
    <mergeCell ref="A172:I172"/>
    <mergeCell ref="D173:G173"/>
    <mergeCell ref="D174:G174"/>
    <mergeCell ref="D175:G175"/>
    <mergeCell ref="D176:G176"/>
    <mergeCell ref="D177:G177"/>
    <mergeCell ref="D178:G178"/>
    <mergeCell ref="D179:G179"/>
    <mergeCell ref="D180:G180"/>
    <mergeCell ref="A181:I181"/>
    <mergeCell ref="A182:I182"/>
    <mergeCell ref="A184:I184"/>
    <mergeCell ref="A185:I185"/>
    <mergeCell ref="A186:I186"/>
    <mergeCell ref="A187:I187"/>
    <mergeCell ref="A188:I188"/>
    <mergeCell ref="A189:I18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B3" activeCellId="0" sqref="B3"/>
    </sheetView>
  </sheetViews>
  <sheetFormatPr defaultColWidth="12.62890625" defaultRowHeight="15" customHeight="true" zeroHeight="false" outlineLevelRow="0" outlineLevelCol="0"/>
  <cols>
    <col collapsed="false" customWidth="true" hidden="false" outlineLevel="0" max="1" min="1" style="1" width="20"/>
    <col collapsed="false" customWidth="true" hidden="false" outlineLevel="0" max="2" min="2" style="1" width="12"/>
    <col collapsed="false" customWidth="true" hidden="false" outlineLevel="0" max="10" min="3" style="1" width="13"/>
    <col collapsed="false" customWidth="true" hidden="false" outlineLevel="0" max="26" min="11" style="1" width="8.5"/>
  </cols>
  <sheetData>
    <row r="1" customFormat="false" ht="24" hidden="false" customHeight="true" outlineLevel="0" collapsed="false">
      <c r="A1" s="23" t="s">
        <v>1150</v>
      </c>
      <c r="B1" s="23"/>
      <c r="C1" s="23"/>
      <c r="D1" s="23"/>
      <c r="E1" s="23"/>
      <c r="F1" s="23"/>
      <c r="G1" s="23"/>
      <c r="H1" s="23"/>
      <c r="I1" s="23"/>
      <c r="J1" s="23"/>
    </row>
    <row r="3" customFormat="false" ht="16.5" hidden="false" customHeight="true" outlineLevel="0" collapsed="false">
      <c r="A3" s="24" t="s">
        <v>1151</v>
      </c>
      <c r="B3" s="24"/>
      <c r="C3" s="24"/>
      <c r="D3" s="24"/>
      <c r="E3" s="24"/>
      <c r="F3" s="24"/>
      <c r="G3" s="24"/>
      <c r="H3" s="24"/>
      <c r="I3" s="24"/>
      <c r="J3" s="24"/>
    </row>
    <row r="4" customFormat="false" ht="33.75" hidden="false" customHeight="true" outlineLevel="0" collapsed="false">
      <c r="A4" s="25" t="s">
        <v>1152</v>
      </c>
      <c r="B4" s="25" t="s">
        <v>1153</v>
      </c>
      <c r="C4" s="25" t="s">
        <v>1154</v>
      </c>
      <c r="D4" s="91" t="s">
        <v>1155</v>
      </c>
      <c r="E4" s="91" t="s">
        <v>1156</v>
      </c>
      <c r="F4" s="91" t="s">
        <v>1157</v>
      </c>
      <c r="G4" s="25" t="s">
        <v>1158</v>
      </c>
      <c r="H4" s="25" t="s">
        <v>1159</v>
      </c>
      <c r="I4" s="25" t="s">
        <v>342</v>
      </c>
    </row>
    <row r="5" customFormat="false" ht="15" hidden="false" customHeight="true" outlineLevel="0" collapsed="false">
      <c r="A5" s="66" t="s">
        <v>1160</v>
      </c>
      <c r="B5" s="163" t="n">
        <v>2000</v>
      </c>
      <c r="C5" s="158" t="s">
        <v>1161</v>
      </c>
      <c r="D5" s="46" t="n">
        <f aca="false">B5/Consensus!$E$24</f>
        <v>7.72141147401745</v>
      </c>
      <c r="E5" s="46" t="n">
        <f aca="false">B5/Consensus!$F$24</f>
        <v>4.56683563958533</v>
      </c>
      <c r="F5" s="46" t="n">
        <f aca="false">B5/((Consensus!$D$18+Consensus!$E$18)/2)</f>
        <v>17.5600333640634</v>
      </c>
      <c r="G5" s="82" t="n">
        <f aca="false">((B5-RIM_3Stage!$B$129)/RIM_3Stage!$B$128)*(0.16-0.04)/RIM_3Stage!$B$127+0.16</f>
        <v>0.806940828705212</v>
      </c>
      <c r="H5" s="82" t="n">
        <f aca="false">((B5-RIM_3Stage!$B$129)/RIM_3Stage!$B$128)*(0.12-0.04)/RIM_3Stage!$B$127+0.12</f>
        <v>0.551293885803475</v>
      </c>
      <c r="I5" s="49" t="n">
        <f aca="false">B5/Assumptions!$B$5-1</f>
        <v>1.22222222222222</v>
      </c>
    </row>
    <row r="6" customFormat="false" ht="15" hidden="false" customHeight="true" outlineLevel="0" collapsed="false">
      <c r="A6" s="66" t="s">
        <v>1162</v>
      </c>
      <c r="B6" s="163" t="n">
        <v>2000</v>
      </c>
      <c r="C6" s="158" t="s">
        <v>1163</v>
      </c>
      <c r="D6" s="46" t="n">
        <f aca="false">B6/Consensus!$E$24</f>
        <v>7.72141147401745</v>
      </c>
      <c r="E6" s="46" t="n">
        <f aca="false">B6/Consensus!$F$24</f>
        <v>4.56683563958533</v>
      </c>
      <c r="F6" s="46" t="n">
        <f aca="false">B6/((Consensus!$D$18+Consensus!$E$18)/2)</f>
        <v>17.5600333640634</v>
      </c>
      <c r="G6" s="82" t="n">
        <f aca="false">((B6-RIM_3Stage!$B$129)/RIM_3Stage!$B$128)*(0.16-0.04)/RIM_3Stage!$B$127+0.16</f>
        <v>0.806940828705212</v>
      </c>
      <c r="H6" s="82" t="n">
        <f aca="false">((B6-RIM_3Stage!$B$129)/RIM_3Stage!$B$128)*(0.12-0.04)/RIM_3Stage!$B$127+0.12</f>
        <v>0.551293885803475</v>
      </c>
      <c r="I6" s="49" t="n">
        <f aca="false">B6/Assumptions!$B$5-1</f>
        <v>1.22222222222222</v>
      </c>
    </row>
    <row r="7" customFormat="false" ht="15" hidden="false" customHeight="true" outlineLevel="0" collapsed="false">
      <c r="A7" s="66" t="s">
        <v>1164</v>
      </c>
      <c r="B7" s="163" t="n">
        <v>1650</v>
      </c>
      <c r="C7" s="158" t="s">
        <v>1163</v>
      </c>
      <c r="D7" s="46" t="n">
        <f aca="false">B7/Consensus!$E$24</f>
        <v>6.3701644660644</v>
      </c>
      <c r="E7" s="46" t="n">
        <f aca="false">B7/Consensus!$F$24</f>
        <v>3.7676394026579</v>
      </c>
      <c r="F7" s="46" t="n">
        <f aca="false">B7/((Consensus!$D$18+Consensus!$E$18)/2)</f>
        <v>14.4870275253523</v>
      </c>
      <c r="G7" s="82" t="n">
        <f aca="false">((B7-RIM_3Stage!$B$129)/RIM_3Stage!$B$128)*(0.16-0.04)/RIM_3Stage!$B$127+0.16</f>
        <v>0.672195428918035</v>
      </c>
      <c r="H7" s="82" t="n">
        <f aca="false">((B7-RIM_3Stage!$B$129)/RIM_3Stage!$B$128)*(0.12-0.04)/RIM_3Stage!$B$127+0.12</f>
        <v>0.46146361927869</v>
      </c>
      <c r="I7" s="49" t="n">
        <f aca="false">B7/Assumptions!$B$5-1</f>
        <v>0.833333333333333</v>
      </c>
    </row>
    <row r="8" customFormat="false" ht="15" hidden="false" customHeight="true" outlineLevel="0" collapsed="false">
      <c r="A8" s="66" t="s">
        <v>1165</v>
      </c>
      <c r="B8" s="163" t="n">
        <v>1625</v>
      </c>
      <c r="C8" s="158" t="s">
        <v>1166</v>
      </c>
      <c r="D8" s="46" t="n">
        <f aca="false">B8/Consensus!$E$24</f>
        <v>6.27364682263918</v>
      </c>
      <c r="E8" s="46" t="n">
        <f aca="false">B8/Consensus!$F$24</f>
        <v>3.71055395716308</v>
      </c>
      <c r="F8" s="46" t="n">
        <f aca="false">B8/((Consensus!$D$18+Consensus!$E$18)/2)</f>
        <v>14.2675271083015</v>
      </c>
      <c r="G8" s="82" t="n">
        <f aca="false">((B8-RIM_3Stage!$B$129)/RIM_3Stage!$B$128)*(0.16-0.04)/RIM_3Stage!$B$127+0.16</f>
        <v>0.662570757504665</v>
      </c>
      <c r="H8" s="82" t="n">
        <f aca="false">((B8-RIM_3Stage!$B$129)/RIM_3Stage!$B$128)*(0.12-0.04)/RIM_3Stage!$B$127+0.12</f>
        <v>0.455047171669777</v>
      </c>
      <c r="I8" s="49" t="n">
        <f aca="false">B8/Assumptions!$B$5-1</f>
        <v>0.805555555555556</v>
      </c>
    </row>
    <row r="9" customFormat="false" ht="15" hidden="false" customHeight="true" outlineLevel="0" collapsed="false">
      <c r="A9" s="66" t="s">
        <v>1167</v>
      </c>
      <c r="B9" s="163" t="n">
        <v>1600</v>
      </c>
      <c r="C9" s="158" t="s">
        <v>1168</v>
      </c>
      <c r="D9" s="46" t="n">
        <f aca="false">B9/Consensus!$E$24</f>
        <v>6.17712917921396</v>
      </c>
      <c r="E9" s="46" t="n">
        <f aca="false">B9/Consensus!$F$24</f>
        <v>3.65346851166827</v>
      </c>
      <c r="F9" s="46" t="n">
        <f aca="false">B9/((Consensus!$D$18+Consensus!$E$18)/2)</f>
        <v>14.0480266912507</v>
      </c>
      <c r="G9" s="82" t="n">
        <f aca="false">((B9-RIM_3Stage!$B$129)/RIM_3Stage!$B$128)*(0.16-0.04)/RIM_3Stage!$B$127+0.16</f>
        <v>0.652946086091295</v>
      </c>
      <c r="H9" s="82" t="n">
        <f aca="false">((B9-RIM_3Stage!$B$129)/RIM_3Stage!$B$128)*(0.12-0.04)/RIM_3Stage!$B$127+0.12</f>
        <v>0.448630724060863</v>
      </c>
      <c r="I9" s="49" t="n">
        <f aca="false">B9/Assumptions!$B$5-1</f>
        <v>0.777777777777778</v>
      </c>
    </row>
    <row r="10" customFormat="false" ht="15" hidden="false" customHeight="true" outlineLevel="0" collapsed="false">
      <c r="A10" s="66" t="s">
        <v>1169</v>
      </c>
      <c r="B10" s="164" t="n">
        <v>1525</v>
      </c>
      <c r="C10" s="158" t="s">
        <v>1168</v>
      </c>
      <c r="D10" s="46" t="n">
        <f aca="false">B10/Consensus!$E$24</f>
        <v>5.88757624893831</v>
      </c>
      <c r="E10" s="46" t="n">
        <f aca="false">B10/Consensus!$F$24</f>
        <v>3.48221217518382</v>
      </c>
      <c r="F10" s="46" t="n">
        <f aca="false">B10/((Consensus!$D$18+Consensus!$E$18)/2)</f>
        <v>13.3895254400983</v>
      </c>
      <c r="G10" s="82" t="n">
        <f aca="false">((B10-RIM_3Stage!$B$129)/RIM_3Stage!$B$128)*(0.16-0.04)/RIM_3Stage!$B$127+0.16</f>
        <v>0.624072071851186</v>
      </c>
      <c r="H10" s="82" t="n">
        <f aca="false">((B10-RIM_3Stage!$B$129)/RIM_3Stage!$B$128)*(0.12-0.04)/RIM_3Stage!$B$127+0.12</f>
        <v>0.429381381234124</v>
      </c>
      <c r="I10" s="49" t="n">
        <f aca="false">B10/Assumptions!$B$5-1</f>
        <v>0.694444444444444</v>
      </c>
    </row>
    <row r="11" customFormat="false" ht="15" hidden="false" customHeight="true" outlineLevel="0" collapsed="false">
      <c r="A11" s="66" t="s">
        <v>1170</v>
      </c>
      <c r="B11" s="164" t="n">
        <v>1500</v>
      </c>
      <c r="C11" s="158" t="s">
        <v>1163</v>
      </c>
      <c r="D11" s="46" t="n">
        <f aca="false">B11/Consensus!$E$24</f>
        <v>5.79105860551309</v>
      </c>
      <c r="E11" s="46" t="n">
        <f aca="false">B11/Consensus!$F$24</f>
        <v>3.425126729689</v>
      </c>
      <c r="F11" s="46" t="n">
        <f aca="false">B11/((Consensus!$D$18+Consensus!$E$18)/2)</f>
        <v>13.1700250230475</v>
      </c>
      <c r="G11" s="82" t="n">
        <f aca="false">((B11-RIM_3Stage!$B$129)/RIM_3Stage!$B$128)*(0.16-0.04)/RIM_3Stage!$B$127+0.16</f>
        <v>0.614447400437816</v>
      </c>
      <c r="H11" s="82" t="n">
        <f aca="false">((B11-RIM_3Stage!$B$129)/RIM_3Stage!$B$128)*(0.12-0.04)/RIM_3Stage!$B$127+0.12</f>
        <v>0.422964933625211</v>
      </c>
      <c r="I11" s="49" t="n">
        <f aca="false">B11/Assumptions!$B$5-1</f>
        <v>0.666666666666667</v>
      </c>
    </row>
    <row r="12" customFormat="false" ht="15" hidden="false" customHeight="true" outlineLevel="0" collapsed="false">
      <c r="A12" s="66" t="s">
        <v>1171</v>
      </c>
      <c r="B12" s="164" t="n">
        <v>1400</v>
      </c>
      <c r="C12" s="158" t="s">
        <v>1168</v>
      </c>
      <c r="D12" s="46" t="n">
        <f aca="false">B12/Consensus!$E$24</f>
        <v>5.40498803181222</v>
      </c>
      <c r="E12" s="46" t="n">
        <f aca="false">B12/Consensus!$F$24</f>
        <v>3.19678494770973</v>
      </c>
      <c r="F12" s="46" t="n">
        <f aca="false">B12/((Consensus!$D$18+Consensus!$E$18)/2)</f>
        <v>12.2920233548444</v>
      </c>
      <c r="G12" s="82" t="n">
        <f aca="false">((B12-RIM_3Stage!$B$129)/RIM_3Stage!$B$128)*(0.16-0.04)/RIM_3Stage!$B$127+0.16</f>
        <v>0.575948714784337</v>
      </c>
      <c r="H12" s="82" t="n">
        <f aca="false">((B12-RIM_3Stage!$B$129)/RIM_3Stage!$B$128)*(0.12-0.04)/RIM_3Stage!$B$127+0.12</f>
        <v>0.397299143189558</v>
      </c>
      <c r="I12" s="49" t="n">
        <f aca="false">B12/Assumptions!$B$5-1</f>
        <v>0.555555555555556</v>
      </c>
    </row>
    <row r="13" customFormat="false" ht="15" hidden="false" customHeight="true" outlineLevel="0" collapsed="false">
      <c r="A13" s="66" t="s">
        <v>1172</v>
      </c>
      <c r="B13" s="164" t="n">
        <v>1250</v>
      </c>
      <c r="C13" s="158" t="s">
        <v>1173</v>
      </c>
      <c r="D13" s="46" t="n">
        <f aca="false">B13/Consensus!$E$24</f>
        <v>4.82588217126091</v>
      </c>
      <c r="E13" s="46" t="n">
        <f aca="false">B13/Consensus!$F$24</f>
        <v>2.85427227474083</v>
      </c>
      <c r="F13" s="46" t="n">
        <f aca="false">B13/((Consensus!$D$18+Consensus!$E$18)/2)</f>
        <v>10.9750208525396</v>
      </c>
      <c r="G13" s="82" t="n">
        <f aca="false">((B13-RIM_3Stage!$B$129)/RIM_3Stage!$B$128)*(0.16-0.04)/RIM_3Stage!$B$127+0.16</f>
        <v>0.518200686304118</v>
      </c>
      <c r="H13" s="82" t="n">
        <f aca="false">((B13-RIM_3Stage!$B$129)/RIM_3Stage!$B$128)*(0.12-0.04)/RIM_3Stage!$B$127+0.12</f>
        <v>0.358800457536079</v>
      </c>
      <c r="I13" s="49" t="n">
        <f aca="false">B13/Assumptions!$B$5-1</f>
        <v>0.388888888888889</v>
      </c>
    </row>
    <row r="14" customFormat="false" ht="15" hidden="false" customHeight="true" outlineLevel="0" collapsed="false">
      <c r="A14" s="66" t="s">
        <v>1174</v>
      </c>
      <c r="B14" s="165" t="n">
        <v>400</v>
      </c>
      <c r="C14" s="158" t="s">
        <v>1175</v>
      </c>
      <c r="D14" s="46" t="n">
        <f aca="false">B14/Consensus!$E$24</f>
        <v>1.54428229480349</v>
      </c>
      <c r="E14" s="46" t="n">
        <f aca="false">B14/Consensus!$F$24</f>
        <v>0.913367127917066</v>
      </c>
      <c r="F14" s="46" t="n">
        <f aca="false">B14/((Consensus!$D$18+Consensus!$E$18)/2)</f>
        <v>3.51200667281268</v>
      </c>
      <c r="G14" s="82" t="n">
        <f aca="false">((B14-RIM_3Stage!$B$129)/RIM_3Stage!$B$128)*(0.16-0.04)/RIM_3Stage!$B$127+0.16</f>
        <v>0.190961858249544</v>
      </c>
      <c r="H14" s="82" t="n">
        <f aca="false">((B14-RIM_3Stage!$B$129)/RIM_3Stage!$B$128)*(0.12-0.04)/RIM_3Stage!$B$127+0.12</f>
        <v>0.140641238833029</v>
      </c>
      <c r="I14" s="49" t="n">
        <f aca="false">B14/Assumptions!$B$5-1</f>
        <v>-0.555555555555556</v>
      </c>
    </row>
    <row r="15" customFormat="false" ht="15" hidden="false" customHeight="true" outlineLevel="0" collapsed="false">
      <c r="A15" s="66" t="s">
        <v>1176</v>
      </c>
      <c r="B15" s="93" t="n">
        <v>1491.95</v>
      </c>
      <c r="C15" s="158" t="s">
        <v>1177</v>
      </c>
      <c r="D15" s="46" t="n">
        <f aca="false">B15/Consensus!$E$24</f>
        <v>5.75997992433017</v>
      </c>
      <c r="E15" s="46" t="n">
        <f aca="false">B15/Consensus!$F$24</f>
        <v>3.40674521623967</v>
      </c>
      <c r="F15" s="46" t="n">
        <f aca="false">B15/((Consensus!$D$18+Consensus!$E$18)/2)</f>
        <v>13.0993458887572</v>
      </c>
      <c r="G15" s="82" t="n">
        <f aca="false">((B15-RIM_3Stage!$B$129)/RIM_3Stage!$B$128)*(0.16-0.04)/RIM_3Stage!$B$127+0.16</f>
        <v>0.611348256242711</v>
      </c>
      <c r="H15" s="82" t="n">
        <f aca="false">((B15-RIM_3Stage!$B$129)/RIM_3Stage!$B$128)*(0.12-0.04)/RIM_3Stage!$B$127+0.12</f>
        <v>0.420898837495141</v>
      </c>
      <c r="I15" s="49" t="n">
        <f aca="false">B15/Assumptions!$B$5-1</f>
        <v>0.657722222222222</v>
      </c>
    </row>
    <row r="17" customFormat="false" ht="15" hidden="false" customHeight="true" outlineLevel="0" collapsed="false">
      <c r="A17" s="99" t="s">
        <v>1178</v>
      </c>
      <c r="B17" s="99"/>
      <c r="C17" s="99"/>
    </row>
    <row r="18" customFormat="false" ht="15" hidden="false" customHeight="true" outlineLevel="0" collapsed="false">
      <c r="A18" s="10" t="s">
        <v>1179</v>
      </c>
      <c r="B18" s="10"/>
      <c r="C18" s="10"/>
      <c r="D18" s="166" t="n">
        <f aca="false">HistoricalCycle!H16</f>
        <v>1.952</v>
      </c>
      <c r="E18" s="44" t="s">
        <v>1180</v>
      </c>
      <c r="F18" s="44"/>
      <c r="G18" s="44"/>
      <c r="H18" s="44"/>
      <c r="I18" s="44"/>
    </row>
    <row r="19" customFormat="false" ht="15" hidden="false" customHeight="true" outlineLevel="0" collapsed="false">
      <c r="A19" s="10" t="s">
        <v>1181</v>
      </c>
      <c r="B19" s="10"/>
      <c r="C19" s="10"/>
      <c r="D19" s="166" t="n">
        <f aca="false">HistoricalCycle!F16</f>
        <v>2.53</v>
      </c>
      <c r="E19" s="44" t="s">
        <v>303</v>
      </c>
      <c r="F19" s="44"/>
      <c r="G19" s="44"/>
      <c r="H19" s="44"/>
      <c r="I19" s="44"/>
    </row>
    <row r="20" customFormat="false" ht="15" hidden="false" customHeight="true" outlineLevel="0" collapsed="false">
      <c r="A20" s="50" t="s">
        <v>1182</v>
      </c>
      <c r="B20" s="50"/>
      <c r="C20" s="50"/>
      <c r="D20" s="167" t="n">
        <v>1.54</v>
      </c>
      <c r="E20" s="44" t="s">
        <v>1183</v>
      </c>
      <c r="F20" s="44"/>
      <c r="G20" s="44"/>
      <c r="H20" s="44"/>
      <c r="I20" s="44"/>
    </row>
    <row r="21" customFormat="false" ht="15" hidden="false" customHeight="true" outlineLevel="0" collapsed="false">
      <c r="A21" s="50" t="s">
        <v>1184</v>
      </c>
      <c r="B21" s="50"/>
      <c r="C21" s="50"/>
      <c r="D21" s="167" t="n">
        <v>9</v>
      </c>
      <c r="E21" s="44" t="s">
        <v>1185</v>
      </c>
      <c r="F21" s="44"/>
      <c r="G21" s="44"/>
      <c r="H21" s="44"/>
      <c r="I21" s="44"/>
    </row>
    <row r="22" customFormat="false" ht="15" hidden="false" customHeight="true" outlineLevel="0" collapsed="false">
      <c r="A22" s="10" t="s">
        <v>1186</v>
      </c>
      <c r="B22" s="10"/>
      <c r="C22" s="10"/>
      <c r="D22" s="162" t="n">
        <v>0.3</v>
      </c>
      <c r="E22" s="41" t="s">
        <v>1187</v>
      </c>
      <c r="F22" s="41"/>
      <c r="G22" s="41"/>
      <c r="H22" s="41"/>
      <c r="I22" s="41"/>
    </row>
    <row r="23" customFormat="false" ht="15" hidden="false" customHeight="true" outlineLevel="0" collapsed="false">
      <c r="A23" s="10" t="s">
        <v>1188</v>
      </c>
      <c r="B23" s="10"/>
      <c r="C23" s="10"/>
      <c r="D23" s="168" t="n">
        <f aca="false">HistoricalCycle!C11</f>
        <v>0.1851</v>
      </c>
      <c r="E23" s="44" t="s">
        <v>300</v>
      </c>
      <c r="F23" s="44"/>
      <c r="G23" s="44"/>
      <c r="H23" s="44"/>
      <c r="I23" s="44"/>
    </row>
    <row r="24" customFormat="false" ht="15.75" hidden="false" customHeight="true" outlineLevel="0" collapsed="false"/>
    <row r="25" customFormat="false" ht="16.5" hidden="false" customHeight="true" outlineLevel="0" collapsed="false">
      <c r="A25" s="24" t="s">
        <v>1189</v>
      </c>
      <c r="B25" s="24"/>
      <c r="C25" s="24"/>
      <c r="D25" s="24"/>
      <c r="E25" s="24"/>
      <c r="F25" s="24"/>
      <c r="G25" s="24"/>
      <c r="H25" s="24"/>
      <c r="I25" s="24"/>
      <c r="J25" s="24"/>
    </row>
    <row r="26" customFormat="false" ht="15" hidden="false" customHeight="true" outlineLevel="0" collapsed="false">
      <c r="A26" s="61" t="s">
        <v>1190</v>
      </c>
      <c r="B26" s="61" t="s">
        <v>1191</v>
      </c>
      <c r="C26" s="61"/>
      <c r="D26" s="61"/>
      <c r="E26" s="61"/>
      <c r="F26" s="61"/>
      <c r="G26" s="61" t="s">
        <v>1192</v>
      </c>
      <c r="H26" s="61"/>
      <c r="I26" s="61"/>
      <c r="J26" s="61" t="s">
        <v>1193</v>
      </c>
    </row>
    <row r="27" customFormat="false" ht="45.75" hidden="false" customHeight="true" outlineLevel="0" collapsed="false">
      <c r="A27" s="169" t="s">
        <v>1194</v>
      </c>
      <c r="B27" s="27" t="s">
        <v>1195</v>
      </c>
      <c r="C27" s="27"/>
      <c r="D27" s="27"/>
      <c r="E27" s="27"/>
      <c r="F27" s="27"/>
      <c r="G27" s="27" t="s">
        <v>1196</v>
      </c>
      <c r="H27" s="27"/>
      <c r="I27" s="27"/>
      <c r="J27" s="126" t="s">
        <v>1197</v>
      </c>
    </row>
    <row r="28" customFormat="false" ht="45.75" hidden="false" customHeight="true" outlineLevel="0" collapsed="false">
      <c r="A28" s="169" t="s">
        <v>1198</v>
      </c>
      <c r="B28" s="33" t="s">
        <v>1199</v>
      </c>
      <c r="C28" s="33"/>
      <c r="D28" s="33"/>
      <c r="E28" s="33"/>
      <c r="F28" s="33"/>
      <c r="G28" s="33" t="s">
        <v>1200</v>
      </c>
      <c r="H28" s="33"/>
      <c r="I28" s="33"/>
      <c r="J28" s="126" t="s">
        <v>731</v>
      </c>
    </row>
    <row r="29" customFormat="false" ht="45.75" hidden="false" customHeight="true" outlineLevel="0" collapsed="false">
      <c r="A29" s="169" t="s">
        <v>1201</v>
      </c>
      <c r="B29" s="33" t="s">
        <v>1202</v>
      </c>
      <c r="C29" s="33"/>
      <c r="D29" s="33"/>
      <c r="E29" s="33"/>
      <c r="F29" s="33"/>
      <c r="G29" s="33" t="s">
        <v>1203</v>
      </c>
      <c r="H29" s="33"/>
      <c r="I29" s="33"/>
      <c r="J29" s="126" t="s">
        <v>731</v>
      </c>
    </row>
    <row r="30" customFormat="false" ht="45.75" hidden="false" customHeight="true" outlineLevel="0" collapsed="false">
      <c r="A30" s="169" t="s">
        <v>1204</v>
      </c>
      <c r="B30" s="27" t="s">
        <v>1205</v>
      </c>
      <c r="C30" s="27"/>
      <c r="D30" s="27"/>
      <c r="E30" s="27"/>
      <c r="F30" s="27"/>
      <c r="G30" s="33" t="s">
        <v>1206</v>
      </c>
      <c r="H30" s="33"/>
      <c r="I30" s="33"/>
      <c r="J30" s="126" t="s">
        <v>731</v>
      </c>
    </row>
    <row r="31" customFormat="false" ht="45.75" hidden="false" customHeight="true" outlineLevel="0" collapsed="false">
      <c r="A31" s="169" t="s">
        <v>1207</v>
      </c>
      <c r="B31" s="27" t="s">
        <v>1208</v>
      </c>
      <c r="C31" s="27"/>
      <c r="D31" s="27"/>
      <c r="E31" s="27"/>
      <c r="F31" s="27"/>
      <c r="G31" s="33" t="s">
        <v>1209</v>
      </c>
      <c r="H31" s="33"/>
      <c r="I31" s="33"/>
      <c r="J31" s="126" t="s">
        <v>731</v>
      </c>
    </row>
    <row r="32" customFormat="false" ht="45.75" hidden="false" customHeight="true" outlineLevel="0" collapsed="false">
      <c r="A32" s="170" t="s">
        <v>1210</v>
      </c>
      <c r="B32" s="33" t="s">
        <v>1211</v>
      </c>
      <c r="C32" s="33"/>
      <c r="D32" s="33"/>
      <c r="E32" s="33"/>
      <c r="F32" s="33"/>
      <c r="G32" s="33" t="s">
        <v>1212</v>
      </c>
      <c r="H32" s="33"/>
      <c r="I32" s="33"/>
      <c r="J32" s="127" t="s">
        <v>731</v>
      </c>
    </row>
    <row r="33" customFormat="false" ht="15.75" hidden="false" customHeight="true" outlineLevel="0" collapsed="false"/>
    <row r="34" customFormat="false" ht="16.5" hidden="false" customHeight="true" outlineLevel="0" collapsed="false">
      <c r="A34" s="24" t="s">
        <v>1213</v>
      </c>
      <c r="B34" s="24"/>
      <c r="C34" s="24"/>
      <c r="D34" s="24"/>
      <c r="E34" s="24"/>
      <c r="F34" s="24"/>
      <c r="G34" s="24"/>
      <c r="H34" s="24"/>
      <c r="I34" s="24"/>
      <c r="J34" s="24"/>
    </row>
    <row r="35" customFormat="false" ht="30" hidden="false" customHeight="true" outlineLevel="0" collapsed="false">
      <c r="A35" s="36" t="s">
        <v>1214</v>
      </c>
      <c r="B35" s="36"/>
      <c r="C35" s="36"/>
      <c r="D35" s="36"/>
      <c r="E35" s="36"/>
      <c r="F35" s="36"/>
      <c r="G35" s="36"/>
      <c r="H35" s="36"/>
      <c r="I35" s="36"/>
      <c r="J35" s="36"/>
    </row>
    <row r="36" customFormat="false" ht="30" hidden="false" customHeight="true" outlineLevel="0" collapsed="false">
      <c r="A36" s="37" t="s">
        <v>1215</v>
      </c>
      <c r="B36" s="37"/>
      <c r="C36" s="37"/>
      <c r="D36" s="37"/>
      <c r="E36" s="37"/>
      <c r="F36" s="37"/>
      <c r="G36" s="37"/>
      <c r="H36" s="37"/>
      <c r="I36" s="37"/>
      <c r="J36" s="37"/>
    </row>
    <row r="37" customFormat="false" ht="30" hidden="false" customHeight="true" outlineLevel="0" collapsed="false">
      <c r="A37" s="37" t="s">
        <v>1216</v>
      </c>
      <c r="B37" s="37"/>
      <c r="C37" s="37"/>
      <c r="D37" s="37"/>
      <c r="E37" s="37"/>
      <c r="F37" s="37"/>
      <c r="G37" s="37"/>
      <c r="H37" s="37"/>
      <c r="I37" s="37"/>
      <c r="J37" s="37"/>
    </row>
    <row r="38" customFormat="false" ht="30" hidden="false" customHeight="true" outlineLevel="0" collapsed="false">
      <c r="A38" s="36" t="s">
        <v>1217</v>
      </c>
      <c r="B38" s="36"/>
      <c r="C38" s="36"/>
      <c r="D38" s="36"/>
      <c r="E38" s="36"/>
      <c r="F38" s="36"/>
      <c r="G38" s="36"/>
      <c r="H38" s="36"/>
      <c r="I38" s="36"/>
      <c r="J38" s="36"/>
    </row>
    <row r="39" customFormat="false" ht="30" hidden="false" customHeight="true" outlineLevel="0" collapsed="false">
      <c r="A39" s="36" t="s">
        <v>1218</v>
      </c>
      <c r="B39" s="36"/>
      <c r="C39" s="36"/>
      <c r="D39" s="36"/>
      <c r="E39" s="36"/>
      <c r="F39" s="36"/>
      <c r="G39" s="36"/>
      <c r="H39" s="36"/>
      <c r="I39" s="36"/>
      <c r="J39" s="36"/>
    </row>
    <row r="40" customFormat="false" ht="30" hidden="false" customHeight="true" outlineLevel="0" collapsed="false">
      <c r="A40" s="35" t="s">
        <v>1219</v>
      </c>
      <c r="B40" s="35"/>
      <c r="C40" s="35"/>
      <c r="D40" s="35"/>
      <c r="E40" s="35"/>
      <c r="F40" s="35"/>
      <c r="G40" s="35"/>
      <c r="H40" s="35"/>
      <c r="I40" s="35"/>
      <c r="J40" s="35"/>
    </row>
    <row r="41" customFormat="false" ht="15.75" hidden="false" customHeight="true" outlineLevel="0" collapsed="false"/>
    <row r="42" customFormat="false" ht="13.5" hidden="false" customHeight="true" outlineLevel="0" collapsed="false">
      <c r="A42" s="13" t="s">
        <v>1220</v>
      </c>
      <c r="B42" s="13"/>
      <c r="C42" s="13"/>
      <c r="D42" s="13"/>
      <c r="E42" s="13"/>
      <c r="F42" s="13"/>
      <c r="G42" s="13"/>
      <c r="H42" s="13"/>
      <c r="I42" s="13"/>
      <c r="J42" s="13"/>
    </row>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mergeCells count="38">
    <mergeCell ref="A1:J1"/>
    <mergeCell ref="A3:J3"/>
    <mergeCell ref="A17:C17"/>
    <mergeCell ref="A18:C18"/>
    <mergeCell ref="E18:I18"/>
    <mergeCell ref="A19:C19"/>
    <mergeCell ref="E19:I19"/>
    <mergeCell ref="A20:C20"/>
    <mergeCell ref="E20:I20"/>
    <mergeCell ref="A21:C21"/>
    <mergeCell ref="E21:I21"/>
    <mergeCell ref="A22:C22"/>
    <mergeCell ref="E22:I22"/>
    <mergeCell ref="A23:C23"/>
    <mergeCell ref="E23:I23"/>
    <mergeCell ref="A25:J25"/>
    <mergeCell ref="B26:F26"/>
    <mergeCell ref="G26:I26"/>
    <mergeCell ref="B27:F27"/>
    <mergeCell ref="G27:I27"/>
    <mergeCell ref="B28:F28"/>
    <mergeCell ref="G28:I28"/>
    <mergeCell ref="B29:F29"/>
    <mergeCell ref="G29:I29"/>
    <mergeCell ref="B30:F30"/>
    <mergeCell ref="G30:I30"/>
    <mergeCell ref="B31:F31"/>
    <mergeCell ref="G31:I31"/>
    <mergeCell ref="B32:F32"/>
    <mergeCell ref="G32:I32"/>
    <mergeCell ref="A34:J34"/>
    <mergeCell ref="A35:J35"/>
    <mergeCell ref="A36:J36"/>
    <mergeCell ref="A37:J37"/>
    <mergeCell ref="A38:J38"/>
    <mergeCell ref="A39:J39"/>
    <mergeCell ref="A40:J40"/>
    <mergeCell ref="A42:J4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4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customHeight="false" zeroHeight="false" outlineLevelRow="0" outlineLevelCol="0"/>
  <cols>
    <col collapsed="false" customWidth="true" hidden="false" outlineLevel="0" max="1" min="1" style="1" width="34"/>
    <col collapsed="false" customWidth="true" hidden="false" outlineLevel="0" max="5" min="2" style="1" width="13"/>
    <col collapsed="false" customWidth="true" hidden="false" outlineLevel="0" max="6" min="6" style="1" width="62"/>
  </cols>
  <sheetData>
    <row r="1" customFormat="false" ht="17.25" hidden="false" customHeight="true" outlineLevel="0" collapsed="false">
      <c r="A1" s="171" t="s">
        <v>1221</v>
      </c>
      <c r="B1" s="172"/>
      <c r="C1" s="172"/>
      <c r="D1" s="172"/>
      <c r="E1" s="172"/>
      <c r="F1" s="172"/>
    </row>
    <row r="2" customFormat="false" ht="15" hidden="false" customHeight="true" outlineLevel="0" collapsed="false">
      <c r="A2" s="20" t="s">
        <v>1222</v>
      </c>
    </row>
    <row r="4" customFormat="false" ht="16.5" hidden="false" customHeight="true" outlineLevel="0" collapsed="false">
      <c r="A4" s="15" t="s">
        <v>1223</v>
      </c>
      <c r="B4" s="16"/>
      <c r="C4" s="16"/>
      <c r="D4" s="16"/>
      <c r="E4" s="16"/>
      <c r="F4" s="16"/>
    </row>
    <row r="5" customFormat="false" ht="15" hidden="false" customHeight="true" outlineLevel="0" collapsed="false">
      <c r="A5" s="101" t="s">
        <v>182</v>
      </c>
      <c r="B5" s="102" t="s">
        <v>1057</v>
      </c>
      <c r="C5" s="102" t="s">
        <v>1058</v>
      </c>
      <c r="D5" s="102" t="s">
        <v>1059</v>
      </c>
      <c r="E5" s="102" t="s">
        <v>1060</v>
      </c>
      <c r="F5" s="103" t="s">
        <v>185</v>
      </c>
    </row>
    <row r="6" customFormat="false" ht="15" hidden="false" customHeight="true" outlineLevel="0" collapsed="false">
      <c r="A6" s="21" t="s">
        <v>1224</v>
      </c>
      <c r="B6" s="105" t="n">
        <v>0.22</v>
      </c>
      <c r="C6" s="105" t="n">
        <v>0.3</v>
      </c>
      <c r="D6" s="105" t="n">
        <v>0.35</v>
      </c>
      <c r="E6" s="105" t="n">
        <v>0.38</v>
      </c>
      <c r="F6" s="22" t="s">
        <v>1225</v>
      </c>
    </row>
    <row r="7" customFormat="false" ht="15" hidden="false" customHeight="true" outlineLevel="0" collapsed="false">
      <c r="A7" s="18" t="s">
        <v>1226</v>
      </c>
      <c r="B7" s="104" t="n">
        <v>2.85</v>
      </c>
      <c r="C7" s="104" t="n">
        <v>2.87</v>
      </c>
      <c r="D7" s="104" t="n">
        <v>3</v>
      </c>
      <c r="E7" s="104" t="n">
        <v>3.1</v>
      </c>
      <c r="F7" s="22" t="s">
        <v>1227</v>
      </c>
    </row>
    <row r="8" customFormat="false" ht="15" hidden="false" customHeight="true" outlineLevel="0" collapsed="false">
      <c r="A8" s="21" t="s">
        <v>1228</v>
      </c>
      <c r="B8" s="105" t="n">
        <v>0.76</v>
      </c>
      <c r="C8" s="105" t="n">
        <v>0.78</v>
      </c>
      <c r="D8" s="105" t="n">
        <v>0.8</v>
      </c>
      <c r="E8" s="105" t="n">
        <v>0.8</v>
      </c>
      <c r="F8" s="22" t="s">
        <v>1229</v>
      </c>
    </row>
    <row r="10" customFormat="false" ht="16.5" hidden="false" customHeight="true" outlineLevel="0" collapsed="false">
      <c r="A10" s="15" t="s">
        <v>1230</v>
      </c>
      <c r="B10" s="16"/>
      <c r="C10" s="16"/>
      <c r="D10" s="16"/>
      <c r="E10" s="16"/>
      <c r="F10" s="16"/>
    </row>
    <row r="11" customFormat="false" ht="15" hidden="false" customHeight="true" outlineLevel="0" collapsed="false">
      <c r="A11" s="17" t="s">
        <v>1231</v>
      </c>
      <c r="B11" s="173" t="n">
        <v>2</v>
      </c>
      <c r="F11" s="20" t="s">
        <v>1232</v>
      </c>
    </row>
    <row r="12" customFormat="false" ht="15" hidden="false" customHeight="true" outlineLevel="0" collapsed="false">
      <c r="A12" s="21" t="s">
        <v>1233</v>
      </c>
      <c r="B12" s="104" t="n">
        <v>0.56</v>
      </c>
      <c r="F12" s="22" t="s">
        <v>1234</v>
      </c>
    </row>
    <row r="13" customFormat="false" ht="15" hidden="false" customHeight="true" outlineLevel="0" collapsed="false">
      <c r="A13" s="21" t="s">
        <v>1235</v>
      </c>
      <c r="B13" s="104" t="n">
        <v>2</v>
      </c>
      <c r="F13" s="22" t="s">
        <v>1236</v>
      </c>
    </row>
    <row r="14" customFormat="false" ht="15" hidden="false" customHeight="true" outlineLevel="0" collapsed="false">
      <c r="A14" s="21" t="s">
        <v>1237</v>
      </c>
      <c r="B14" s="104" t="n">
        <v>4.39</v>
      </c>
      <c r="F14" s="22" t="s">
        <v>1238</v>
      </c>
    </row>
    <row r="15" customFormat="false" ht="15" hidden="false" customHeight="true" outlineLevel="0" collapsed="false">
      <c r="A15" s="17" t="s">
        <v>1239</v>
      </c>
      <c r="B15" s="104" t="n">
        <v>4.39</v>
      </c>
      <c r="C15" s="116" t="n">
        <f aca="false">IF($B$11=3,$B$14,IF($B$11=2,$B$13,$B$12))</f>
        <v>2</v>
      </c>
      <c r="D15" s="116" t="n">
        <f aca="false">IF($B$11=3,$B$14,IF($B$11=2,$B$13,$B$12))</f>
        <v>2</v>
      </c>
      <c r="E15" s="116" t="n">
        <f aca="false">IF($B$11=3,$B$14,IF($B$11=2,$B$13,$B$12))</f>
        <v>2</v>
      </c>
      <c r="F15" s="22" t="s">
        <v>1240</v>
      </c>
    </row>
    <row r="17" customFormat="false" ht="16.5" hidden="false" customHeight="true" outlineLevel="0" collapsed="false">
      <c r="A17" s="15" t="s">
        <v>1241</v>
      </c>
      <c r="B17" s="16"/>
      <c r="C17" s="16"/>
      <c r="D17" s="16"/>
      <c r="E17" s="16"/>
      <c r="F17" s="16"/>
    </row>
    <row r="18" customFormat="false" ht="15" hidden="false" customHeight="true" outlineLevel="0" collapsed="false">
      <c r="A18" s="101" t="s">
        <v>182</v>
      </c>
      <c r="B18" s="102" t="s">
        <v>1057</v>
      </c>
      <c r="C18" s="102" t="s">
        <v>1058</v>
      </c>
      <c r="D18" s="102" t="s">
        <v>1059</v>
      </c>
      <c r="E18" s="102" t="s">
        <v>1060</v>
      </c>
      <c r="F18" s="103"/>
    </row>
    <row r="19" customFormat="false" ht="15" hidden="false" customHeight="true" outlineLevel="0" collapsed="false">
      <c r="A19" s="21" t="s">
        <v>1242</v>
      </c>
      <c r="B19" s="174" t="n">
        <f aca="false">(B6/B7)/((B6/B7)+(1-B6))</f>
        <v>0.0900532132623823</v>
      </c>
      <c r="C19" s="174" t="n">
        <f aca="false">(C6/C7)/((C6/C7)+(1-C6))</f>
        <v>0.129926375054136</v>
      </c>
      <c r="D19" s="174" t="n">
        <f aca="false">(D6/D7)/((D6/D7)+(1-D6))</f>
        <v>0.152173913043478</v>
      </c>
      <c r="E19" s="174" t="n">
        <f aca="false">(E6/E7)/((E6/E7)+(1-E6))</f>
        <v>0.165073848827107</v>
      </c>
    </row>
    <row r="20" customFormat="false" ht="15" hidden="false" customHeight="true" outlineLevel="0" collapsed="false">
      <c r="A20" s="18" t="s">
        <v>1243</v>
      </c>
      <c r="B20" s="175" t="n">
        <v>0.09</v>
      </c>
      <c r="C20" s="175" t="n">
        <v>0.13</v>
      </c>
      <c r="D20" s="22" t="s">
        <v>1244</v>
      </c>
      <c r="E20" s="22" t="s">
        <v>1244</v>
      </c>
    </row>
    <row r="21" customFormat="false" ht="15" hidden="false" customHeight="true" outlineLevel="0" collapsed="false">
      <c r="A21" s="18" t="s">
        <v>939</v>
      </c>
      <c r="B21" s="174" t="n">
        <f aca="false">B19-B20</f>
        <v>5.32132623823206E-005</v>
      </c>
      <c r="C21" s="174" t="n">
        <f aca="false">C19-C20</f>
        <v>-7.36249458640204E-005</v>
      </c>
      <c r="F21" s="22" t="s">
        <v>1245</v>
      </c>
    </row>
    <row r="23" customFormat="false" ht="16.5" hidden="false" customHeight="true" outlineLevel="0" collapsed="false">
      <c r="A23" s="15" t="s">
        <v>1246</v>
      </c>
      <c r="B23" s="16"/>
      <c r="C23" s="16"/>
      <c r="D23" s="16"/>
      <c r="E23" s="16"/>
      <c r="F23" s="16"/>
    </row>
    <row r="24" customFormat="false" ht="15" hidden="false" customHeight="true" outlineLevel="0" collapsed="false">
      <c r="A24" s="101" t="s">
        <v>182</v>
      </c>
      <c r="B24" s="102" t="s">
        <v>1057</v>
      </c>
      <c r="C24" s="102" t="s">
        <v>1058</v>
      </c>
      <c r="D24" s="102" t="s">
        <v>1059</v>
      </c>
      <c r="E24" s="102" t="s">
        <v>1060</v>
      </c>
      <c r="F24" s="103"/>
    </row>
    <row r="25" customFormat="false" ht="15" hidden="false" customHeight="true" outlineLevel="0" collapsed="false">
      <c r="A25" s="21" t="s">
        <v>1247</v>
      </c>
      <c r="B25" s="112" t="n">
        <f aca="false">(B19*B15)/((B19*B15)+(1-B19))</f>
        <v>0.302872553938786</v>
      </c>
      <c r="C25" s="112" t="n">
        <f aca="false">(C19*C15)/((C19*C15)+(1-C19))</f>
        <v>0.229973169796857</v>
      </c>
      <c r="D25" s="112" t="n">
        <f aca="false">(D19*D15)/((D19*D15)+(1-D19))</f>
        <v>0.264150943396226</v>
      </c>
      <c r="E25" s="112" t="n">
        <f aca="false">(E19*E15)/((E19*E15)+(1-E19))</f>
        <v>0.283370618941089</v>
      </c>
    </row>
    <row r="26" customFormat="false" ht="15" hidden="false" customHeight="true" outlineLevel="0" collapsed="false">
      <c r="A26" s="17" t="s">
        <v>1248</v>
      </c>
      <c r="B26" s="112" t="n">
        <f aca="false">(1-B25)*B8</f>
        <v>0.529816859006523</v>
      </c>
      <c r="C26" s="112" t="n">
        <f aca="false">(1-C25)*C8</f>
        <v>0.600620927558452</v>
      </c>
      <c r="D26" s="112" t="n">
        <f aca="false">(1-D25)*D8</f>
        <v>0.588679245283019</v>
      </c>
      <c r="E26" s="112" t="n">
        <f aca="false">(1-E25)*E8</f>
        <v>0.573303504847129</v>
      </c>
    </row>
    <row r="27" customFormat="false" ht="15" hidden="false" customHeight="true" outlineLevel="0" collapsed="false">
      <c r="A27" s="17" t="s">
        <v>1249</v>
      </c>
      <c r="B27" s="112" t="n">
        <f aca="false">B25*B8</f>
        <v>0.230183140993477</v>
      </c>
      <c r="C27" s="112" t="n">
        <f aca="false">C25*C8</f>
        <v>0.179379072441549</v>
      </c>
      <c r="D27" s="112" t="n">
        <f aca="false">D25*D8</f>
        <v>0.211320754716981</v>
      </c>
      <c r="E27" s="112" t="n">
        <f aca="false">E25*E8</f>
        <v>0.226696495152871</v>
      </c>
    </row>
    <row r="28" customFormat="false" ht="15" hidden="false" customHeight="true" outlineLevel="0" collapsed="false">
      <c r="A28" s="17" t="s">
        <v>1250</v>
      </c>
      <c r="B28" s="112" t="n">
        <f aca="false">1-B8</f>
        <v>0.24</v>
      </c>
      <c r="C28" s="112" t="n">
        <f aca="false">1-C8</f>
        <v>0.22</v>
      </c>
      <c r="D28" s="112" t="n">
        <f aca="false">1-D8</f>
        <v>0.2</v>
      </c>
      <c r="E28" s="112" t="n">
        <f aca="false">1-E8</f>
        <v>0.2</v>
      </c>
    </row>
    <row r="29" customFormat="false" ht="15" hidden="false" customHeight="true" outlineLevel="0" collapsed="false">
      <c r="A29" s="18" t="s">
        <v>1251</v>
      </c>
      <c r="B29" s="112" t="n">
        <f aca="false">B26+B27+B28</f>
        <v>1</v>
      </c>
      <c r="C29" s="112" t="n">
        <f aca="false">C26+C27+C28</f>
        <v>1</v>
      </c>
      <c r="D29" s="112" t="n">
        <f aca="false">D26+D27+D28</f>
        <v>1</v>
      </c>
      <c r="E29" s="112" t="n">
        <f aca="false">E26+E27+E28</f>
        <v>1</v>
      </c>
    </row>
    <row r="31" customFormat="false" ht="16.5" hidden="false" customHeight="true" outlineLevel="0" collapsed="false">
      <c r="A31" s="15" t="s">
        <v>1252</v>
      </c>
      <c r="B31" s="16"/>
      <c r="C31" s="16"/>
      <c r="D31" s="16"/>
      <c r="E31" s="16"/>
      <c r="F31" s="16"/>
    </row>
    <row r="32" customFormat="false" ht="15" hidden="false" customHeight="true" outlineLevel="0" collapsed="false">
      <c r="A32" s="101" t="s">
        <v>182</v>
      </c>
      <c r="B32" s="103" t="s">
        <v>727</v>
      </c>
      <c r="C32" s="102" t="s">
        <v>730</v>
      </c>
      <c r="D32" s="102" t="s">
        <v>733</v>
      </c>
      <c r="E32" s="103"/>
      <c r="F32" s="103"/>
    </row>
    <row r="33" customFormat="false" ht="15" hidden="false" customHeight="true" outlineLevel="0" collapsed="false">
      <c r="A33" s="21" t="s">
        <v>1253</v>
      </c>
      <c r="B33" s="176" t="n">
        <v>0.53</v>
      </c>
      <c r="C33" s="176" t="n">
        <v>0.23</v>
      </c>
      <c r="D33" s="176" t="n">
        <v>0.24</v>
      </c>
    </row>
    <row r="34" customFormat="false" ht="15" hidden="false" customHeight="true" outlineLevel="0" collapsed="false">
      <c r="A34" s="21" t="s">
        <v>1254</v>
      </c>
      <c r="B34" s="109" t="n">
        <f aca="false">B26</f>
        <v>0.529816859006523</v>
      </c>
      <c r="C34" s="109" t="n">
        <f aca="false">B27</f>
        <v>0.230183140993477</v>
      </c>
      <c r="D34" s="109" t="n">
        <f aca="false">B28</f>
        <v>0.24</v>
      </c>
    </row>
    <row r="35" customFormat="false" ht="15" hidden="false" customHeight="true" outlineLevel="0" collapsed="false">
      <c r="A35" s="18" t="s">
        <v>939</v>
      </c>
      <c r="B35" s="112" t="n">
        <f aca="false">B34-B33</f>
        <v>-0.00018314099347716</v>
      </c>
      <c r="C35" s="112" t="n">
        <f aca="false">C34-C33</f>
        <v>0.00018314099347716</v>
      </c>
      <c r="D35" s="112" t="n">
        <f aca="false">D34-D33</f>
        <v>0</v>
      </c>
      <c r="F35" s="20" t="s">
        <v>1255</v>
      </c>
    </row>
    <row r="37" customFormat="false" ht="15" hidden="false" customHeight="true" outlineLevel="0" collapsed="false">
      <c r="A37" s="20" t="s">
        <v>1256</v>
      </c>
    </row>
    <row r="38" customFormat="false" ht="15" hidden="false" customHeight="true" outlineLevel="0" collapsed="false">
      <c r="A38" s="20" t="s">
        <v>1257</v>
      </c>
    </row>
    <row r="39" customFormat="false" ht="15" hidden="false" customHeight="true" outlineLevel="0" collapsed="false">
      <c r="A39" s="20" t="s">
        <v>1258</v>
      </c>
    </row>
    <row r="40" customFormat="false" ht="15" hidden="false" customHeight="true" outlineLevel="0" collapsed="false">
      <c r="A40" s="20" t="s">
        <v>1259</v>
      </c>
    </row>
    <row r="41" customFormat="false" ht="15" hidden="false" customHeight="true" outlineLevel="0" collapsed="false">
      <c r="A41" s="22" t="s">
        <v>1260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customHeight="false" zeroHeight="false" outlineLevelRow="0" outlineLevelCol="0"/>
  <cols>
    <col collapsed="false" customWidth="true" hidden="false" outlineLevel="0" max="1" min="1" style="1" width="34"/>
    <col collapsed="false" customWidth="true" hidden="false" outlineLevel="0" max="5" min="2" style="1" width="13"/>
    <col collapsed="false" customWidth="true" hidden="false" outlineLevel="0" max="6" min="6" style="1" width="62"/>
  </cols>
  <sheetData>
    <row r="1" customFormat="false" ht="21" hidden="false" customHeight="true" outlineLevel="0" collapsed="false">
      <c r="A1" s="171" t="s">
        <v>1261</v>
      </c>
      <c r="B1" s="172"/>
      <c r="C1" s="172"/>
      <c r="D1" s="172"/>
      <c r="E1" s="172"/>
      <c r="F1" s="172"/>
    </row>
    <row r="2" customFormat="false" ht="15" hidden="false" customHeight="true" outlineLevel="0" collapsed="false">
      <c r="A2" s="20" t="s">
        <v>1262</v>
      </c>
    </row>
    <row r="4" customFormat="false" ht="16.5" hidden="false" customHeight="true" outlineLevel="0" collapsed="false">
      <c r="A4" s="15" t="s">
        <v>1263</v>
      </c>
      <c r="B4" s="16"/>
      <c r="C4" s="16"/>
      <c r="D4" s="16"/>
      <c r="E4" s="16"/>
      <c r="F4" s="16"/>
    </row>
    <row r="5" customFormat="false" ht="15" hidden="false" customHeight="true" outlineLevel="0" collapsed="false">
      <c r="A5" s="101" t="s">
        <v>722</v>
      </c>
      <c r="B5" s="102" t="s">
        <v>1057</v>
      </c>
      <c r="C5" s="102" t="s">
        <v>1058</v>
      </c>
      <c r="D5" s="102" t="s">
        <v>1059</v>
      </c>
      <c r="E5" s="102" t="s">
        <v>1060</v>
      </c>
      <c r="F5" s="103" t="s">
        <v>1264</v>
      </c>
    </row>
    <row r="6" customFormat="false" ht="15" hidden="false" customHeight="true" outlineLevel="0" collapsed="false">
      <c r="A6" s="18" t="s">
        <v>1265</v>
      </c>
      <c r="B6" s="112" t="n">
        <f aca="false">1-(1-$B$45)/B40</f>
        <v>0.8</v>
      </c>
      <c r="C6" s="112" t="n">
        <f aca="false">1-(1-$B$45)/C40</f>
        <v>0.8</v>
      </c>
      <c r="D6" s="112" t="n">
        <f aca="false">1-(1-$B$45)/D40</f>
        <v>0.777777777777778</v>
      </c>
      <c r="E6" s="112" t="n">
        <f aca="false">1-(1-$B$45)/E40</f>
        <v>0.672131147540984</v>
      </c>
      <c r="F6" s="22" t="s">
        <v>1266</v>
      </c>
      <c r="G6" s="20" t="s">
        <v>1267</v>
      </c>
    </row>
    <row r="7" customFormat="false" ht="15" hidden="false" customHeight="true" outlineLevel="0" collapsed="false">
      <c r="A7" s="21" t="s">
        <v>462</v>
      </c>
      <c r="B7" s="112" t="n">
        <f aca="false">1-(1-$B$46)/B41</f>
        <v>0.5</v>
      </c>
      <c r="C7" s="112" t="n">
        <f aca="false">1-(1-$B$46)/C41</f>
        <v>0.65034965034965</v>
      </c>
      <c r="D7" s="112" t="n">
        <f aca="false">1-(1-$B$46)/D41</f>
        <v>0.75</v>
      </c>
      <c r="E7" s="112" t="n">
        <f aca="false">1-(1-$B$46)/E41</f>
        <v>0.720670391061453</v>
      </c>
      <c r="F7" s="22" t="s">
        <v>1266</v>
      </c>
      <c r="G7" s="20" t="s">
        <v>1268</v>
      </c>
    </row>
    <row r="8" customFormat="false" ht="15" hidden="false" customHeight="true" outlineLevel="0" collapsed="false">
      <c r="A8" s="21" t="s">
        <v>1269</v>
      </c>
      <c r="B8" s="112" t="n">
        <f aca="false">1-(1-$B$47)/B42</f>
        <v>0.5</v>
      </c>
      <c r="C8" s="112" t="n">
        <f aca="false">1-(1-$B$47)/C42</f>
        <v>0.5</v>
      </c>
      <c r="D8" s="112" t="n">
        <f aca="false">1-(1-$B$47)/D42</f>
        <v>0.444444444444444</v>
      </c>
      <c r="E8" s="112" t="n">
        <f aca="false">1-(1-$B$47)/E42</f>
        <v>0.390243902439024</v>
      </c>
      <c r="F8" s="22" t="s">
        <v>1266</v>
      </c>
      <c r="G8" s="22" t="s">
        <v>1270</v>
      </c>
    </row>
    <row r="10" customFormat="false" ht="16.5" hidden="false" customHeight="true" outlineLevel="0" collapsed="false">
      <c r="A10" s="15" t="s">
        <v>1271</v>
      </c>
      <c r="B10" s="16"/>
      <c r="C10" s="16"/>
      <c r="D10" s="16"/>
      <c r="E10" s="16"/>
      <c r="F10" s="16"/>
    </row>
    <row r="11" customFormat="false" ht="15" hidden="false" customHeight="true" outlineLevel="0" collapsed="false">
      <c r="A11" s="101" t="s">
        <v>182</v>
      </c>
      <c r="B11" s="102" t="s">
        <v>1057</v>
      </c>
      <c r="C11" s="102" t="s">
        <v>1058</v>
      </c>
      <c r="D11" s="102" t="s">
        <v>1059</v>
      </c>
      <c r="E11" s="102" t="s">
        <v>1060</v>
      </c>
      <c r="F11" s="103"/>
    </row>
    <row r="12" customFormat="false" ht="15" hidden="false" customHeight="true" outlineLevel="0" collapsed="false">
      <c r="A12" s="18" t="s">
        <v>1272</v>
      </c>
      <c r="B12" s="109" t="n">
        <f aca="false">MixPath!B26</f>
        <v>0.529816859006523</v>
      </c>
      <c r="C12" s="109" t="n">
        <f aca="false">MixPath!C26</f>
        <v>0.600620927558452</v>
      </c>
      <c r="D12" s="109" t="n">
        <f aca="false">MixPath!D26</f>
        <v>0.588679245283019</v>
      </c>
      <c r="E12" s="109" t="n">
        <f aca="false">MixPath!E26</f>
        <v>0.573303504847129</v>
      </c>
    </row>
    <row r="13" customFormat="false" ht="15" hidden="false" customHeight="true" outlineLevel="0" collapsed="false">
      <c r="A13" s="21" t="s">
        <v>1273</v>
      </c>
      <c r="B13" s="109" t="n">
        <f aca="false">MixPath!B27</f>
        <v>0.230183140993477</v>
      </c>
      <c r="C13" s="109" t="n">
        <f aca="false">MixPath!C27</f>
        <v>0.179379072441549</v>
      </c>
      <c r="D13" s="109" t="n">
        <f aca="false">MixPath!D27</f>
        <v>0.211320754716981</v>
      </c>
      <c r="E13" s="109" t="n">
        <f aca="false">MixPath!E27</f>
        <v>0.226696495152871</v>
      </c>
    </row>
    <row r="14" customFormat="false" ht="15" hidden="false" customHeight="true" outlineLevel="0" collapsed="false">
      <c r="A14" s="21" t="s">
        <v>1274</v>
      </c>
      <c r="B14" s="109" t="n">
        <f aca="false">MixPath!B28</f>
        <v>0.24</v>
      </c>
      <c r="C14" s="109" t="n">
        <f aca="false">MixPath!C28</f>
        <v>0.22</v>
      </c>
      <c r="D14" s="109" t="n">
        <f aca="false">MixPath!D28</f>
        <v>0.2</v>
      </c>
      <c r="E14" s="109" t="n">
        <f aca="false">MixPath!E28</f>
        <v>0.2</v>
      </c>
    </row>
    <row r="15" customFormat="false" ht="15" hidden="false" customHeight="true" outlineLevel="0" collapsed="false">
      <c r="A15" s="17" t="s">
        <v>1275</v>
      </c>
      <c r="B15" s="117" t="n">
        <f aca="false">B12*B6+B13*B7+B14*B8</f>
        <v>0.658945057701957</v>
      </c>
      <c r="C15" s="117" t="n">
        <f aca="false">C12*C6+C13*C7+C14*C8</f>
        <v>0.707155859089167</v>
      </c>
      <c r="D15" s="117" t="n">
        <f aca="false">D12*D6+D13*D7+D14*D8</f>
        <v>0.705241090146751</v>
      </c>
      <c r="E15" s="117" t="n">
        <f aca="false">E12*E6+E13*E7+E14*E8</f>
        <v>0.626757374904054</v>
      </c>
    </row>
    <row r="17" customFormat="false" ht="16.5" hidden="false" customHeight="true" outlineLevel="0" collapsed="false">
      <c r="A17" s="15" t="s">
        <v>1276</v>
      </c>
      <c r="B17" s="16"/>
      <c r="C17" s="16"/>
      <c r="D17" s="16"/>
      <c r="E17" s="16"/>
      <c r="F17" s="16"/>
    </row>
    <row r="18" customFormat="false" ht="15" hidden="false" customHeight="true" outlineLevel="0" collapsed="false">
      <c r="A18" s="101" t="s">
        <v>182</v>
      </c>
      <c r="B18" s="102" t="s">
        <v>1057</v>
      </c>
      <c r="C18" s="102" t="s">
        <v>1058</v>
      </c>
      <c r="D18" s="102" t="s">
        <v>1059</v>
      </c>
      <c r="E18" s="102" t="s">
        <v>1060</v>
      </c>
      <c r="F18" s="103"/>
    </row>
    <row r="19" customFormat="false" ht="15" hidden="false" customHeight="true" outlineLevel="0" collapsed="false">
      <c r="A19" s="18" t="s">
        <v>1277</v>
      </c>
      <c r="B19" s="109" t="n">
        <f aca="false">Consensus!D11</f>
        <v>0.7589</v>
      </c>
      <c r="C19" s="109" t="n">
        <f aca="false">Consensus!E11</f>
        <v>0.8233</v>
      </c>
      <c r="D19" s="109" t="n">
        <f aca="false">Consensus!F11</f>
        <v>0.7799</v>
      </c>
      <c r="E19" s="109" t="n">
        <f aca="false">Consensus!G11</f>
        <v>0.7021</v>
      </c>
    </row>
    <row r="20" customFormat="false" ht="15" hidden="false" customHeight="true" outlineLevel="0" collapsed="false">
      <c r="A20" s="18" t="s">
        <v>1278</v>
      </c>
      <c r="B20" s="112" t="n">
        <f aca="false">B15</f>
        <v>0.658945057701957</v>
      </c>
      <c r="C20" s="112" t="n">
        <f aca="false">C15</f>
        <v>0.707155859089167</v>
      </c>
      <c r="D20" s="112" t="n">
        <f aca="false">D15</f>
        <v>0.705241090146751</v>
      </c>
      <c r="E20" s="112" t="n">
        <f aca="false">E15</f>
        <v>0.626757374904054</v>
      </c>
    </row>
    <row r="21" customFormat="false" ht="15" hidden="false" customHeight="true" outlineLevel="0" collapsed="false">
      <c r="A21" s="17" t="s">
        <v>1279</v>
      </c>
      <c r="B21" s="117" t="n">
        <f aca="false">IFERROR(B20/B19,"n/a")</f>
        <v>0.868289705760913</v>
      </c>
      <c r="C21" s="117" t="n">
        <f aca="false">IFERROR(C20/C19,"n/a")</f>
        <v>0.858928530413175</v>
      </c>
      <c r="D21" s="117" t="n">
        <f aca="false">IFERROR(D20/D19,"n/a")</f>
        <v>0.904271175979934</v>
      </c>
      <c r="E21" s="117" t="n">
        <f aca="false">IFERROR(E20/E19,"n/a")</f>
        <v>0.892689609605546</v>
      </c>
      <c r="F21" s="20" t="s">
        <v>1280</v>
      </c>
    </row>
    <row r="22" customFormat="false" ht="15" hidden="false" customHeight="true" outlineLevel="0" collapsed="false">
      <c r="A22" s="18" t="s">
        <v>1281</v>
      </c>
      <c r="B22" s="112" t="n">
        <f aca="false">B20-B19</f>
        <v>-0.0999549422980431</v>
      </c>
      <c r="C22" s="112" t="n">
        <f aca="false">C20-C19</f>
        <v>-0.116144140910833</v>
      </c>
      <c r="D22" s="112" t="n">
        <f aca="false">D20-D19</f>
        <v>-0.0746589098532494</v>
      </c>
      <c r="E22" s="112" t="n">
        <f aca="false">E20-E19</f>
        <v>-0.0753426250959463</v>
      </c>
    </row>
    <row r="24" customFormat="false" ht="16.5" hidden="false" customHeight="true" outlineLevel="0" collapsed="false">
      <c r="A24" s="15" t="s">
        <v>1282</v>
      </c>
      <c r="B24" s="16"/>
      <c r="C24" s="16"/>
      <c r="D24" s="16"/>
      <c r="E24" s="16"/>
      <c r="F24" s="16"/>
    </row>
    <row r="25" customFormat="false" ht="15" hidden="false" customHeight="true" outlineLevel="0" collapsed="false">
      <c r="A25" s="101" t="s">
        <v>182</v>
      </c>
      <c r="B25" s="102" t="s">
        <v>1057</v>
      </c>
      <c r="C25" s="102" t="s">
        <v>1058</v>
      </c>
      <c r="D25" s="102" t="s">
        <v>1059</v>
      </c>
      <c r="E25" s="102" t="s">
        <v>1060</v>
      </c>
      <c r="F25" s="103"/>
    </row>
    <row r="26" customFormat="false" ht="15" hidden="false" customHeight="true" outlineLevel="0" collapsed="false">
      <c r="A26" s="17" t="s">
        <v>1283</v>
      </c>
      <c r="B26" s="117" t="n">
        <f aca="false">IFERROR((B19-B12*B6-B14*B8)/B13,"n/a")</f>
        <v>0.934240934703709</v>
      </c>
      <c r="C26" s="117" t="n">
        <f aca="false">IFERROR((C19-C12*C6-C14*C8)/C13,"n/a")</f>
        <v>1.29782841880342</v>
      </c>
      <c r="D26" s="117" t="n">
        <f aca="false">IFERROR((D19-D12*D6-D14*D8)/D13,"n/a")</f>
        <v>1.10329662698413</v>
      </c>
      <c r="E26" s="117" t="n">
        <f aca="false">IFERROR((E19-E12*E6-E14*E8)/E13,"n/a")</f>
        <v>1.05302058926429</v>
      </c>
    </row>
    <row r="27" customFormat="false" ht="15" hidden="false" customHeight="true" outlineLevel="0" collapsed="false">
      <c r="A27" s="18" t="s">
        <v>1284</v>
      </c>
      <c r="B27" s="112" t="n">
        <f aca="false">B7</f>
        <v>0.5</v>
      </c>
      <c r="C27" s="112" t="n">
        <f aca="false">C7</f>
        <v>0.65034965034965</v>
      </c>
      <c r="D27" s="112" t="n">
        <f aca="false">D7</f>
        <v>0.75</v>
      </c>
      <c r="E27" s="112" t="n">
        <f aca="false">E7</f>
        <v>0.720670391061453</v>
      </c>
    </row>
    <row r="28" customFormat="false" ht="15" hidden="false" customHeight="true" outlineLevel="0" collapsed="false">
      <c r="A28" s="18" t="s">
        <v>1285</v>
      </c>
      <c r="B28" s="112" t="n">
        <f aca="false">IFERROR(B26-B27,"n/a")</f>
        <v>0.434240934703709</v>
      </c>
      <c r="C28" s="112" t="n">
        <f aca="false">IFERROR(C26-C27,"n/a")</f>
        <v>0.647478768453769</v>
      </c>
      <c r="D28" s="112" t="n">
        <f aca="false">IFERROR(D26-D27,"n/a")</f>
        <v>0.353296626984127</v>
      </c>
      <c r="E28" s="112" t="n">
        <f aca="false">IFERROR(E26-E27,"n/a")</f>
        <v>0.332350198202841</v>
      </c>
    </row>
    <row r="30" customFormat="false" ht="15" hidden="false" customHeight="true" outlineLevel="0" collapsed="false">
      <c r="A30" s="22" t="s">
        <v>1286</v>
      </c>
    </row>
    <row r="31" customFormat="false" ht="15" hidden="false" customHeight="true" outlineLevel="0" collapsed="false">
      <c r="A31" s="20" t="s">
        <v>1287</v>
      </c>
    </row>
    <row r="32" customFormat="false" ht="15" hidden="false" customHeight="true" outlineLevel="0" collapsed="false">
      <c r="A32" s="20" t="s">
        <v>1288</v>
      </c>
    </row>
    <row r="34" customFormat="false" ht="15" hidden="false" customHeight="true" outlineLevel="0" collapsed="false">
      <c r="A34" s="22" t="s">
        <v>1289</v>
      </c>
    </row>
    <row r="35" customFormat="false" ht="15" hidden="false" customHeight="true" outlineLevel="0" collapsed="false">
      <c r="A35" s="20" t="s">
        <v>1290</v>
      </c>
    </row>
    <row r="37" customFormat="false" ht="16.5" hidden="false" customHeight="true" outlineLevel="0" collapsed="false">
      <c r="A37" s="15" t="s">
        <v>1291</v>
      </c>
      <c r="B37" s="16"/>
      <c r="C37" s="16"/>
      <c r="D37" s="16"/>
      <c r="E37" s="16"/>
      <c r="F37" s="16"/>
      <c r="G37" s="16"/>
    </row>
    <row r="38" customFormat="false" ht="15" hidden="false" customHeight="true" outlineLevel="0" collapsed="false">
      <c r="A38" s="22" t="s">
        <v>1292</v>
      </c>
    </row>
    <row r="39" customFormat="false" ht="15" hidden="false" customHeight="true" outlineLevel="0" collapsed="false">
      <c r="A39" s="101" t="s">
        <v>182</v>
      </c>
      <c r="B39" s="102" t="s">
        <v>1057</v>
      </c>
      <c r="C39" s="102" t="s">
        <v>1058</v>
      </c>
      <c r="D39" s="102" t="s">
        <v>1059</v>
      </c>
      <c r="E39" s="102" t="s">
        <v>1060</v>
      </c>
      <c r="F39" s="101" t="s">
        <v>1264</v>
      </c>
    </row>
    <row r="40" customFormat="false" ht="15" hidden="false" customHeight="true" outlineLevel="0" collapsed="false">
      <c r="A40" s="17" t="s">
        <v>1293</v>
      </c>
      <c r="B40" s="104" t="n">
        <v>1</v>
      </c>
      <c r="C40" s="104" t="n">
        <v>1</v>
      </c>
      <c r="D40" s="104" t="n">
        <v>0.9</v>
      </c>
      <c r="E40" s="104" t="n">
        <v>0.61</v>
      </c>
      <c r="F40" s="22" t="s">
        <v>1294</v>
      </c>
    </row>
    <row r="41" customFormat="false" ht="15" hidden="false" customHeight="true" outlineLevel="0" collapsed="false">
      <c r="A41" s="19" t="s">
        <v>449</v>
      </c>
      <c r="B41" s="104" t="n">
        <v>1</v>
      </c>
      <c r="C41" s="104" t="n">
        <v>1.43</v>
      </c>
      <c r="D41" s="104" t="n">
        <v>2</v>
      </c>
      <c r="E41" s="104" t="n">
        <v>1.79</v>
      </c>
      <c r="F41" s="22" t="s">
        <v>1295</v>
      </c>
    </row>
    <row r="42" customFormat="false" ht="15" hidden="false" customHeight="true" outlineLevel="0" collapsed="false">
      <c r="A42" s="19" t="s">
        <v>450</v>
      </c>
      <c r="B42" s="104" t="n">
        <v>1</v>
      </c>
      <c r="C42" s="104" t="n">
        <v>1</v>
      </c>
      <c r="D42" s="104" t="n">
        <v>0.9</v>
      </c>
      <c r="E42" s="104" t="n">
        <v>0.82</v>
      </c>
      <c r="F42" s="22" t="s">
        <v>1296</v>
      </c>
    </row>
    <row r="44" customFormat="false" ht="15" hidden="false" customHeight="true" outlineLevel="0" collapsed="false">
      <c r="A44" s="17" t="s">
        <v>1297</v>
      </c>
    </row>
    <row r="45" customFormat="false" ht="15" hidden="false" customHeight="true" outlineLevel="0" collapsed="false">
      <c r="A45" s="18" t="s">
        <v>1298</v>
      </c>
      <c r="B45" s="105" t="n">
        <v>0.8</v>
      </c>
      <c r="F45" s="20" t="s">
        <v>1299</v>
      </c>
    </row>
    <row r="46" customFormat="false" ht="15" hidden="false" customHeight="true" outlineLevel="0" collapsed="false">
      <c r="A46" s="21" t="s">
        <v>1300</v>
      </c>
      <c r="B46" s="105" t="n">
        <v>0.5</v>
      </c>
      <c r="F46" s="22" t="s">
        <v>1301</v>
      </c>
    </row>
    <row r="47" customFormat="false" ht="15" hidden="false" customHeight="true" outlineLevel="0" collapsed="false">
      <c r="A47" s="21" t="s">
        <v>1302</v>
      </c>
      <c r="B47" s="105" t="n">
        <v>0.5</v>
      </c>
      <c r="F47" s="20" t="s">
        <v>1303</v>
      </c>
    </row>
    <row r="49" customFormat="false" ht="15" hidden="false" customHeight="true" outlineLevel="0" collapsed="false">
      <c r="A49" s="20" t="s">
        <v>1304</v>
      </c>
    </row>
    <row r="50" customFormat="false" ht="15" hidden="false" customHeight="true" outlineLevel="0" collapsed="false">
      <c r="A50" s="22" t="s">
        <v>1305</v>
      </c>
    </row>
    <row r="51" customFormat="false" ht="15" hidden="false" customHeight="true" outlineLevel="0" collapsed="false">
      <c r="A51" s="20" t="s">
        <v>1306</v>
      </c>
    </row>
    <row r="52" customFormat="false" ht="15" hidden="false" customHeight="true" outlineLevel="0" collapsed="false">
      <c r="A52" s="20" t="s">
        <v>1307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4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customHeight="false" zeroHeight="false" outlineLevelRow="0" outlineLevelCol="0"/>
  <cols>
    <col collapsed="false" customWidth="true" hidden="false" outlineLevel="0" max="1" min="1" style="1" width="34"/>
    <col collapsed="false" customWidth="true" hidden="false" outlineLevel="0" max="5" min="2" style="1" width="15"/>
    <col collapsed="false" customWidth="true" hidden="false" outlineLevel="0" max="6" min="6" style="1" width="58"/>
  </cols>
  <sheetData>
    <row r="1" customFormat="false" ht="21" hidden="false" customHeight="true" outlineLevel="0" collapsed="false">
      <c r="A1" s="177" t="s">
        <v>1308</v>
      </c>
      <c r="B1" s="172"/>
      <c r="C1" s="172"/>
      <c r="D1" s="172"/>
      <c r="E1" s="172"/>
      <c r="F1" s="172"/>
    </row>
    <row r="2" customFormat="false" ht="15" hidden="false" customHeight="true" outlineLevel="0" collapsed="false">
      <c r="A2" s="22" t="s">
        <v>1309</v>
      </c>
    </row>
    <row r="4" customFormat="false" ht="16.5" hidden="false" customHeight="true" outlineLevel="0" collapsed="false">
      <c r="A4" s="15" t="s">
        <v>1310</v>
      </c>
      <c r="B4" s="16"/>
      <c r="C4" s="16"/>
      <c r="D4" s="16"/>
      <c r="E4" s="16"/>
      <c r="F4" s="16"/>
    </row>
    <row r="5" customFormat="false" ht="15" hidden="false" customHeight="true" outlineLevel="0" collapsed="false">
      <c r="A5" s="18" t="s">
        <v>1311</v>
      </c>
      <c r="B5" s="105" t="n">
        <v>0.145</v>
      </c>
      <c r="F5" s="20" t="s">
        <v>1312</v>
      </c>
    </row>
    <row r="6" customFormat="false" ht="15" hidden="false" customHeight="true" outlineLevel="0" collapsed="false">
      <c r="A6" s="18" t="s">
        <v>370</v>
      </c>
      <c r="B6" s="110" t="n">
        <f aca="false">Assumptions!B6</f>
        <v>1130</v>
      </c>
    </row>
    <row r="7" customFormat="false" ht="15" hidden="false" customHeight="true" outlineLevel="0" collapsed="false">
      <c r="A7" s="20" t="s">
        <v>1313</v>
      </c>
    </row>
    <row r="9" customFormat="false" ht="16.5" hidden="false" customHeight="true" outlineLevel="0" collapsed="false">
      <c r="A9" s="15" t="s">
        <v>1314</v>
      </c>
      <c r="B9" s="16"/>
      <c r="C9" s="16"/>
      <c r="D9" s="16"/>
      <c r="E9" s="16"/>
      <c r="F9" s="16"/>
    </row>
    <row r="10" customFormat="false" ht="15" hidden="false" customHeight="true" outlineLevel="0" collapsed="false">
      <c r="A10" s="101" t="s">
        <v>182</v>
      </c>
      <c r="B10" s="102" t="s">
        <v>1057</v>
      </c>
      <c r="C10" s="102" t="s">
        <v>1058</v>
      </c>
      <c r="D10" s="102" t="s">
        <v>1059</v>
      </c>
      <c r="E10" s="102" t="s">
        <v>1060</v>
      </c>
      <c r="F10" s="103"/>
    </row>
    <row r="11" customFormat="false" ht="15" hidden="false" customHeight="true" outlineLevel="0" collapsed="false">
      <c r="A11" s="18" t="s">
        <v>1315</v>
      </c>
      <c r="B11" s="110" t="n">
        <f aca="false">Consensus!D6</f>
        <v>129459</v>
      </c>
      <c r="C11" s="110" t="n">
        <f aca="false">Consensus!E6</f>
        <v>246699</v>
      </c>
      <c r="D11" s="110" t="n">
        <f aca="false">Consensus!F6</f>
        <v>285117</v>
      </c>
      <c r="E11" s="110" t="n">
        <f aca="false">Consensus!G6</f>
        <v>289549</v>
      </c>
    </row>
    <row r="12" customFormat="false" ht="15" hidden="false" customHeight="true" outlineLevel="0" collapsed="false">
      <c r="A12" s="18" t="s">
        <v>1316</v>
      </c>
      <c r="B12" s="109" t="n">
        <f aca="false">SegmentMargin!B15</f>
        <v>0.658945057701957</v>
      </c>
      <c r="C12" s="109" t="n">
        <f aca="false">SegmentMargin!C15</f>
        <v>0.707155859089167</v>
      </c>
      <c r="D12" s="109" t="n">
        <f aca="false">SegmentMargin!D15</f>
        <v>0.705241090146751</v>
      </c>
      <c r="E12" s="109" t="n">
        <f aca="false">SegmentMargin!E15</f>
        <v>0.626757374904054</v>
      </c>
    </row>
    <row r="13" customFormat="false" ht="15" hidden="false" customHeight="true" outlineLevel="0" collapsed="false">
      <c r="A13" s="18" t="s">
        <v>1317</v>
      </c>
      <c r="B13" s="112" t="n">
        <f aca="false">B12*(1-$B$5)</f>
        <v>0.563398024335173</v>
      </c>
      <c r="C13" s="112" t="n">
        <f aca="false">C12*(1-$B$5)</f>
        <v>0.604618259521238</v>
      </c>
      <c r="D13" s="112" t="n">
        <f aca="false">D12*(1-$B$5)</f>
        <v>0.602981132075472</v>
      </c>
      <c r="E13" s="112" t="n">
        <f aca="false">E12*(1-$B$5)</f>
        <v>0.535877555542966</v>
      </c>
    </row>
    <row r="14" customFormat="false" ht="15" hidden="false" customHeight="true" outlineLevel="0" collapsed="false">
      <c r="A14" s="18" t="s">
        <v>1318</v>
      </c>
      <c r="B14" s="113" t="n">
        <f aca="false">B11*B13</f>
        <v>72936.9448324072</v>
      </c>
      <c r="C14" s="113" t="n">
        <f aca="false">C11*C13</f>
        <v>149158.72000563</v>
      </c>
      <c r="D14" s="113" t="n">
        <f aca="false">D11*D13</f>
        <v>171920.171433962</v>
      </c>
      <c r="E14" s="113" t="n">
        <f aca="false">E11*E13</f>
        <v>155162.81032991</v>
      </c>
    </row>
    <row r="15" customFormat="false" ht="15" hidden="false" customHeight="true" outlineLevel="0" collapsed="false">
      <c r="A15" s="18" t="s">
        <v>1319</v>
      </c>
      <c r="B15" s="178" t="n">
        <f aca="false">Consensus!C24</f>
        <v>48.4</v>
      </c>
      <c r="C15" s="178" t="n">
        <f aca="false">Consensus!D24</f>
        <v>118.72</v>
      </c>
      <c r="D15" s="178" t="n">
        <f aca="false">Consensus!E24</f>
        <v>259.02</v>
      </c>
      <c r="E15" s="178" t="n">
        <f aca="false">Consensus!F24</f>
        <v>437.94</v>
      </c>
    </row>
    <row r="16" customFormat="false" ht="15" hidden="false" customHeight="true" outlineLevel="0" collapsed="false">
      <c r="A16" s="18" t="s">
        <v>1320</v>
      </c>
      <c r="B16" s="178" t="n">
        <f aca="false">Consensus!D24</f>
        <v>118.72</v>
      </c>
      <c r="C16" s="178" t="n">
        <f aca="false">Consensus!E24</f>
        <v>259.02</v>
      </c>
      <c r="D16" s="178" t="n">
        <f aca="false">Consensus!F24</f>
        <v>437.94</v>
      </c>
      <c r="E16" s="178" t="n">
        <f aca="false">Consensus!G24</f>
        <v>643.7</v>
      </c>
    </row>
    <row r="17" customFormat="false" ht="15" hidden="false" customHeight="true" outlineLevel="0" collapsed="false">
      <c r="A17" s="18" t="s">
        <v>1321</v>
      </c>
      <c r="B17" s="113" t="n">
        <f aca="false">(B15+B16)/2*$B$6</f>
        <v>94422.8</v>
      </c>
      <c r="C17" s="113" t="n">
        <f aca="false">(C15+C16)/2*$B$6</f>
        <v>213423.1</v>
      </c>
      <c r="D17" s="113" t="n">
        <f aca="false">(D15+D16)/2*$B$6</f>
        <v>393782.4</v>
      </c>
      <c r="E17" s="113" t="n">
        <f aca="false">(E15+E16)/2*$B$6</f>
        <v>611126.6</v>
      </c>
    </row>
    <row r="18" customFormat="false" ht="15" hidden="false" customHeight="true" outlineLevel="0" collapsed="false">
      <c r="A18" s="17" t="s">
        <v>1322</v>
      </c>
      <c r="B18" s="117" t="n">
        <f aca="false">IFERROR(B14/B17,"n/a")</f>
        <v>0.772450561012882</v>
      </c>
      <c r="C18" s="117" t="n">
        <f aca="false">IFERROR(C14/C17,"n/a")</f>
        <v>0.698887421303644</v>
      </c>
      <c r="D18" s="117" t="n">
        <f aca="false">IFERROR(D14/D17,"n/a")</f>
        <v>0.43658673275891</v>
      </c>
      <c r="E18" s="117" t="n">
        <f aca="false">IFERROR(E14/E17,"n/a")</f>
        <v>0.253896345421571</v>
      </c>
    </row>
    <row r="20" customFormat="false" ht="16.5" hidden="false" customHeight="true" outlineLevel="0" collapsed="false">
      <c r="A20" s="15" t="s">
        <v>1323</v>
      </c>
      <c r="B20" s="16"/>
      <c r="C20" s="16"/>
      <c r="D20" s="16"/>
      <c r="E20" s="16"/>
      <c r="F20" s="16"/>
    </row>
    <row r="21" customFormat="false" ht="15" hidden="false" customHeight="true" outlineLevel="0" collapsed="false">
      <c r="A21" s="101" t="s">
        <v>182</v>
      </c>
      <c r="B21" s="102" t="s">
        <v>1057</v>
      </c>
      <c r="C21" s="102" t="s">
        <v>1058</v>
      </c>
      <c r="D21" s="102" t="s">
        <v>1059</v>
      </c>
      <c r="E21" s="102" t="s">
        <v>1060</v>
      </c>
      <c r="F21" s="103"/>
    </row>
    <row r="22" customFormat="false" ht="15" hidden="false" customHeight="true" outlineLevel="0" collapsed="false">
      <c r="A22" s="18" t="s">
        <v>1324</v>
      </c>
      <c r="B22" s="109" t="n">
        <f aca="false">Consensus!D27</f>
        <v>0.844</v>
      </c>
      <c r="C22" s="109" t="n">
        <f aca="false">Consensus!E27</f>
        <v>0.7384</v>
      </c>
      <c r="D22" s="109" t="n">
        <f aca="false">Consensus!F27</f>
        <v>0.4486</v>
      </c>
      <c r="E22" s="109" t="n">
        <f aca="false">Consensus!G27</f>
        <v>0.296</v>
      </c>
    </row>
    <row r="23" customFormat="false" ht="15" hidden="false" customHeight="true" outlineLevel="0" collapsed="false">
      <c r="A23" s="18" t="s">
        <v>1322</v>
      </c>
      <c r="B23" s="112" t="n">
        <f aca="false">B18</f>
        <v>0.772450561012882</v>
      </c>
      <c r="C23" s="112" t="n">
        <f aca="false">C18</f>
        <v>0.698887421303644</v>
      </c>
      <c r="D23" s="112" t="n">
        <f aca="false">D18</f>
        <v>0.43658673275891</v>
      </c>
      <c r="E23" s="112" t="n">
        <f aca="false">E18</f>
        <v>0.253896345421571</v>
      </c>
    </row>
    <row r="24" customFormat="false" ht="15" hidden="false" customHeight="true" outlineLevel="0" collapsed="false">
      <c r="A24" s="17" t="s">
        <v>1281</v>
      </c>
      <c r="B24" s="117" t="n">
        <f aca="false">IFERROR(B23-B22,"n/a")</f>
        <v>-0.0715494389871176</v>
      </c>
      <c r="C24" s="117" t="n">
        <f aca="false">IFERROR(C23-C22,"n/a")</f>
        <v>-0.0395125786963556</v>
      </c>
      <c r="D24" s="117" t="n">
        <f aca="false">IFERROR(D23-D22,"n/a")</f>
        <v>-0.0120132672410899</v>
      </c>
      <c r="E24" s="117" t="n">
        <f aca="false">IFERROR(E23-E22,"n/a")</f>
        <v>-0.0421036545784291</v>
      </c>
    </row>
    <row r="25" customFormat="false" ht="15" hidden="false" customHeight="true" outlineLevel="0" collapsed="false">
      <c r="A25" s="18" t="s">
        <v>1325</v>
      </c>
      <c r="B25" s="179" t="n">
        <v>22</v>
      </c>
      <c r="C25" s="179" t="n">
        <v>21</v>
      </c>
      <c r="D25" s="179" t="n">
        <v>16</v>
      </c>
      <c r="E25" s="179" t="n">
        <v>3</v>
      </c>
    </row>
    <row r="27" customFormat="false" ht="15" hidden="false" customHeight="true" outlineLevel="0" collapsed="false">
      <c r="A27" s="20" t="s">
        <v>1326</v>
      </c>
    </row>
    <row r="28" customFormat="false" ht="15" hidden="false" customHeight="true" outlineLevel="0" collapsed="false">
      <c r="A28" s="20" t="s">
        <v>1327</v>
      </c>
    </row>
    <row r="29" customFormat="false" ht="15" hidden="false" customHeight="true" outlineLevel="0" collapsed="false">
      <c r="A29" s="20" t="s">
        <v>1328</v>
      </c>
    </row>
    <row r="31" customFormat="false" ht="16.5" hidden="false" customHeight="true" outlineLevel="0" collapsed="false">
      <c r="A31" s="15" t="s">
        <v>1329</v>
      </c>
      <c r="B31" s="16"/>
      <c r="C31" s="16"/>
      <c r="D31" s="16"/>
      <c r="E31" s="16"/>
      <c r="F31" s="16"/>
    </row>
    <row r="32" customFormat="false" ht="15" hidden="false" customHeight="true" outlineLevel="0" collapsed="false">
      <c r="A32" s="18" t="s">
        <v>1330</v>
      </c>
      <c r="B32" s="110" t="n">
        <f aca="false">Consensus!D31</f>
        <v>-40902</v>
      </c>
      <c r="C32" s="110" t="n">
        <f aca="false">Consensus!E31</f>
        <v>-143648</v>
      </c>
      <c r="D32" s="110" t="n">
        <f aca="false">Consensus!F31</f>
        <v>-265525</v>
      </c>
      <c r="E32" s="110" t="n">
        <f aca="false">Consensus!G31</f>
        <v>-318921</v>
      </c>
      <c r="G32" s="22" t="s">
        <v>1331</v>
      </c>
    </row>
    <row r="33" customFormat="false" ht="15" hidden="false" customHeight="true" outlineLevel="0" collapsed="false">
      <c r="A33" s="17" t="s">
        <v>1332</v>
      </c>
      <c r="B33" s="180" t="n">
        <v>0</v>
      </c>
      <c r="C33" s="180" t="n">
        <v>0</v>
      </c>
      <c r="D33" s="180" t="n">
        <v>60000</v>
      </c>
      <c r="E33" s="180" t="n">
        <v>150000</v>
      </c>
      <c r="G33" s="22" t="s">
        <v>1333</v>
      </c>
    </row>
    <row r="34" customFormat="false" ht="15" hidden="false" customHeight="true" outlineLevel="0" collapsed="false">
      <c r="A34" s="18" t="s">
        <v>1334</v>
      </c>
      <c r="B34" s="113" t="n">
        <f aca="false">B33/2</f>
        <v>0</v>
      </c>
      <c r="C34" s="113" t="n">
        <f aca="false">(B33+C33)/2</f>
        <v>0</v>
      </c>
      <c r="D34" s="113" t="n">
        <f aca="false">(C33+D33)/2</f>
        <v>30000</v>
      </c>
      <c r="E34" s="113" t="n">
        <f aca="false">(D33+E33)/2</f>
        <v>105000</v>
      </c>
    </row>
    <row r="35" customFormat="false" ht="15" hidden="false" customHeight="true" outlineLevel="0" collapsed="false">
      <c r="A35" s="17" t="s">
        <v>1335</v>
      </c>
      <c r="B35" s="181" t="n">
        <f aca="false">MAX(B17-B34,1)</f>
        <v>94422.8</v>
      </c>
      <c r="C35" s="181" t="n">
        <f aca="false">MAX(C17-C34,1)</f>
        <v>213423.1</v>
      </c>
      <c r="D35" s="181" t="n">
        <f aca="false">MAX(D17-D34,1)</f>
        <v>363782.4</v>
      </c>
      <c r="E35" s="181" t="n">
        <f aca="false">MAX(E17-E34,1)</f>
        <v>506126.6</v>
      </c>
    </row>
    <row r="36" customFormat="false" ht="15" hidden="false" customHeight="true" outlineLevel="0" collapsed="false">
      <c r="A36" s="17" t="s">
        <v>1336</v>
      </c>
      <c r="B36" s="182" t="n">
        <f aca="false">IFERROR(B14/B35,"n/a")</f>
        <v>0.772450561012882</v>
      </c>
      <c r="C36" s="182" t="n">
        <f aca="false">IFERROR(C14/C35,"n/a")</f>
        <v>0.698887421303644</v>
      </c>
      <c r="D36" s="182" t="n">
        <f aca="false">IFERROR(D14/D35,"n/a")</f>
        <v>0.472590679026699</v>
      </c>
      <c r="E36" s="182" t="n">
        <f aca="false">IFERROR(E14/E35,"n/a")</f>
        <v>0.306569167338587</v>
      </c>
      <c r="G36" s="20" t="s">
        <v>1337</v>
      </c>
    </row>
    <row r="37" customFormat="false" ht="15" hidden="false" customHeight="true" outlineLevel="0" collapsed="false">
      <c r="A37" s="20" t="s">
        <v>1338</v>
      </c>
      <c r="B37" s="109" t="n">
        <f aca="false">B18</f>
        <v>0.772450561012882</v>
      </c>
      <c r="C37" s="109" t="n">
        <f aca="false">C18</f>
        <v>0.698887421303644</v>
      </c>
      <c r="D37" s="109" t="n">
        <f aca="false">D18</f>
        <v>0.43658673275891</v>
      </c>
      <c r="E37" s="109" t="n">
        <f aca="false">E18</f>
        <v>0.253896345421571</v>
      </c>
    </row>
    <row r="38" customFormat="false" ht="15" hidden="false" customHeight="true" outlineLevel="0" collapsed="false">
      <c r="A38" s="20" t="s">
        <v>1339</v>
      </c>
      <c r="B38" s="112" t="n">
        <f aca="false">B36-B37</f>
        <v>0</v>
      </c>
      <c r="C38" s="112" t="n">
        <f aca="false">C36-C37</f>
        <v>0</v>
      </c>
      <c r="D38" s="112" t="n">
        <f aca="false">D36-D37</f>
        <v>0.036003946267789</v>
      </c>
      <c r="E38" s="112" t="n">
        <f aca="false">E36-E37</f>
        <v>0.0526728219170163</v>
      </c>
    </row>
    <row r="40" customFormat="false" ht="15" hidden="false" customHeight="true" outlineLevel="0" collapsed="false">
      <c r="A40" s="20" t="s">
        <v>1340</v>
      </c>
    </row>
    <row r="41" customFormat="false" ht="15" hidden="false" customHeight="true" outlineLevel="0" collapsed="false">
      <c r="A41" s="20" t="s">
        <v>1341</v>
      </c>
    </row>
    <row r="42" customFormat="false" ht="15" hidden="false" customHeight="true" outlineLevel="0" collapsed="false">
      <c r="A42" s="20" t="s">
        <v>1342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5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customHeight="false" zeroHeight="false" outlineLevelRow="0" outlineLevelCol="0"/>
  <cols>
    <col collapsed="false" customWidth="true" hidden="false" outlineLevel="0" max="1" min="1" style="1" width="36"/>
    <col collapsed="false" customWidth="true" hidden="false" outlineLevel="0" max="6" min="2" style="1" width="13"/>
    <col collapsed="false" customWidth="true" hidden="false" outlineLevel="0" max="7" min="7" style="1" width="50"/>
  </cols>
  <sheetData>
    <row r="1" customFormat="false" ht="21" hidden="false" customHeight="true" outlineLevel="0" collapsed="false">
      <c r="A1" s="171" t="s">
        <v>1343</v>
      </c>
      <c r="B1" s="172"/>
      <c r="C1" s="172"/>
      <c r="D1" s="172"/>
      <c r="E1" s="172"/>
      <c r="F1" s="172"/>
    </row>
    <row r="2" customFormat="false" ht="15" hidden="false" customHeight="true" outlineLevel="0" collapsed="false">
      <c r="A2" s="20" t="s">
        <v>1344</v>
      </c>
    </row>
    <row r="4" customFormat="false" ht="16.5" hidden="false" customHeight="true" outlineLevel="0" collapsed="false">
      <c r="A4" s="15" t="s">
        <v>1345</v>
      </c>
      <c r="B4" s="16"/>
      <c r="C4" s="16"/>
      <c r="D4" s="16"/>
      <c r="E4" s="16"/>
      <c r="F4" s="16"/>
    </row>
    <row r="5" customFormat="false" ht="15" hidden="false" customHeight="true" outlineLevel="0" collapsed="false">
      <c r="A5" s="21" t="s">
        <v>1346</v>
      </c>
      <c r="B5" s="109" t="n">
        <f aca="false">ROE_Build!E36</f>
        <v>0.306569167338587</v>
      </c>
      <c r="G5" s="20" t="s">
        <v>1347</v>
      </c>
    </row>
    <row r="6" customFormat="false" ht="15" hidden="false" customHeight="true" outlineLevel="0" collapsed="false">
      <c r="A6" s="21" t="s">
        <v>1348</v>
      </c>
      <c r="B6" s="109" t="n">
        <f aca="false">ROE_Build!D36</f>
        <v>0.472590679026699</v>
      </c>
    </row>
    <row r="7" customFormat="false" ht="15" hidden="false" customHeight="true" outlineLevel="0" collapsed="false">
      <c r="A7" s="21" t="s">
        <v>1349</v>
      </c>
      <c r="B7" s="109" t="n">
        <f aca="false">MixPath!E27</f>
        <v>0.226696495152871</v>
      </c>
    </row>
    <row r="9" customFormat="false" ht="16.5" hidden="false" customHeight="true" outlineLevel="0" collapsed="false">
      <c r="A9" s="15" t="s">
        <v>1350</v>
      </c>
      <c r="B9" s="16"/>
      <c r="C9" s="16"/>
      <c r="D9" s="16"/>
      <c r="E9" s="16"/>
      <c r="F9" s="16"/>
      <c r="G9" s="16"/>
    </row>
    <row r="10" customFormat="false" ht="15" hidden="false" customHeight="true" outlineLevel="0" collapsed="false">
      <c r="A10" s="18" t="s">
        <v>1351</v>
      </c>
      <c r="B10" s="105" t="n">
        <v>0.25</v>
      </c>
      <c r="G10" s="22" t="s">
        <v>1352</v>
      </c>
    </row>
    <row r="11" customFormat="false" ht="15" hidden="false" customHeight="true" outlineLevel="0" collapsed="false">
      <c r="A11" s="18" t="s">
        <v>1353</v>
      </c>
      <c r="B11" s="105" t="n">
        <v>0.5</v>
      </c>
      <c r="G11" s="20" t="s">
        <v>1354</v>
      </c>
    </row>
    <row r="12" customFormat="false" ht="15" hidden="false" customHeight="true" outlineLevel="0" collapsed="false">
      <c r="A12" s="18" t="s">
        <v>1355</v>
      </c>
      <c r="B12" s="105" t="n">
        <v>0.25</v>
      </c>
      <c r="G12" s="20" t="s">
        <v>1356</v>
      </c>
    </row>
    <row r="13" customFormat="false" ht="15" hidden="false" customHeight="true" outlineLevel="0" collapsed="false">
      <c r="A13" s="18" t="s">
        <v>1251</v>
      </c>
      <c r="B13" s="183" t="n">
        <f aca="false">B10+B11+B12</f>
        <v>1</v>
      </c>
      <c r="C13" s="21" t="str">
        <f aca="false">IF(ABS(B13-1)&gt;0.001,"Warning: does not sum to 100%","OK")</f>
        <v>OK</v>
      </c>
      <c r="G13" s="20"/>
    </row>
    <row r="14" customFormat="false" ht="15" hidden="false" customHeight="true" outlineLevel="0" collapsed="false">
      <c r="A14" s="18" t="s">
        <v>1357</v>
      </c>
      <c r="B14" s="109" t="n">
        <f aca="false">B5</f>
        <v>0.306569167338587</v>
      </c>
    </row>
    <row r="15" customFormat="false" ht="15" hidden="false" customHeight="true" outlineLevel="0" collapsed="false">
      <c r="A15" s="18" t="s">
        <v>1358</v>
      </c>
      <c r="B15" s="104" t="n">
        <v>1.5</v>
      </c>
      <c r="G15" s="20" t="s">
        <v>1359</v>
      </c>
    </row>
    <row r="16" customFormat="false" ht="15" hidden="false" customHeight="true" outlineLevel="0" collapsed="false">
      <c r="A16" s="18" t="s">
        <v>1360</v>
      </c>
      <c r="B16" s="112" t="n">
        <f aca="false">B14*B15</f>
        <v>0.459853751007881</v>
      </c>
    </row>
    <row r="17" customFormat="false" ht="15" hidden="false" customHeight="true" outlineLevel="0" collapsed="false">
      <c r="A17" s="17"/>
      <c r="B17" s="173"/>
      <c r="G17" s="20"/>
    </row>
    <row r="18" customFormat="false" ht="16.5" hidden="false" customHeight="true" outlineLevel="0" collapsed="false">
      <c r="A18" s="15" t="s">
        <v>1361</v>
      </c>
      <c r="B18" s="16"/>
      <c r="C18" s="16"/>
      <c r="D18" s="16"/>
      <c r="E18" s="16"/>
      <c r="F18" s="16"/>
      <c r="G18" s="16"/>
    </row>
    <row r="19" customFormat="false" ht="15" hidden="false" customHeight="true" outlineLevel="0" collapsed="false">
      <c r="A19" s="184" t="s">
        <v>1362</v>
      </c>
      <c r="B19" s="185" t="n">
        <f aca="false">1-B7</f>
        <v>0.773303504847129</v>
      </c>
      <c r="C19" s="103"/>
      <c r="D19" s="103"/>
      <c r="G19" s="20" t="s">
        <v>1363</v>
      </c>
    </row>
    <row r="20" customFormat="false" ht="15" hidden="false" customHeight="true" outlineLevel="0" collapsed="false">
      <c r="A20" s="18" t="s">
        <v>1364</v>
      </c>
      <c r="B20" s="109" t="n">
        <f aca="false">B7</f>
        <v>0.226696495152871</v>
      </c>
      <c r="G20" s="20" t="s">
        <v>1365</v>
      </c>
    </row>
    <row r="21" customFormat="false" ht="15" hidden="false" customHeight="true" outlineLevel="0" collapsed="false">
      <c r="A21" s="18" t="s">
        <v>1366</v>
      </c>
      <c r="B21" s="105" t="n">
        <v>-0.124</v>
      </c>
      <c r="G21" s="22" t="s">
        <v>1367</v>
      </c>
    </row>
    <row r="22" customFormat="false" ht="15" hidden="false" customHeight="true" outlineLevel="0" collapsed="false">
      <c r="A22" s="18" t="s">
        <v>1368</v>
      </c>
      <c r="B22" s="105" t="n">
        <v>0.15</v>
      </c>
      <c r="G22" s="20" t="s">
        <v>1369</v>
      </c>
    </row>
    <row r="23" customFormat="false" ht="16.5" hidden="false" customHeight="true" outlineLevel="0" collapsed="false">
      <c r="A23" s="186" t="s">
        <v>1370</v>
      </c>
      <c r="B23" s="187" t="n">
        <f aca="false">B19*B21+B20*B22</f>
        <v>-0.0618851603281134</v>
      </c>
      <c r="C23" s="16"/>
      <c r="D23" s="16"/>
      <c r="E23" s="16"/>
      <c r="F23" s="16"/>
      <c r="G23" s="20"/>
    </row>
    <row r="24" customFormat="false" ht="15" hidden="false" customHeight="true" outlineLevel="0" collapsed="false">
      <c r="A24" s="18" t="s">
        <v>1371</v>
      </c>
      <c r="B24" s="106" t="n">
        <f aca="false">B21</f>
        <v>-0.124</v>
      </c>
      <c r="G24" s="20"/>
    </row>
    <row r="25" customFormat="false" ht="15" hidden="false" customHeight="true" outlineLevel="0" collapsed="false">
      <c r="A25" s="18"/>
      <c r="B25" s="18"/>
    </row>
    <row r="26" customFormat="false" ht="15" hidden="false" customHeight="true" outlineLevel="0" collapsed="false">
      <c r="A26" s="15" t="s">
        <v>1372</v>
      </c>
      <c r="B26" s="188"/>
      <c r="C26" s="16"/>
      <c r="D26" s="16"/>
      <c r="E26" s="16"/>
      <c r="F26" s="16"/>
      <c r="G26" s="189"/>
    </row>
    <row r="27" customFormat="false" ht="16.5" hidden="false" customHeight="true" outlineLevel="0" collapsed="false">
      <c r="A27" s="186" t="s">
        <v>1373</v>
      </c>
      <c r="B27" s="182" t="n">
        <f aca="false">B10*B16+B11*B14+B12*B23</f>
        <v>0.252776731339235</v>
      </c>
      <c r="C27" s="16"/>
      <c r="D27" s="16"/>
      <c r="E27" s="16"/>
      <c r="F27" s="16"/>
      <c r="G27" s="20" t="s">
        <v>1374</v>
      </c>
    </row>
    <row r="28" customFormat="false" ht="15" hidden="false" customHeight="true" outlineLevel="0" collapsed="false">
      <c r="A28" s="18" t="s">
        <v>1375</v>
      </c>
      <c r="B28" s="21" t="str">
        <f aca="false">IF(AND(B27&gt;=0.2,B27&lt;=0.3),"Inside band",IF(B27&lt;0.2,"Below band","Above band"))</f>
        <v>Inside band</v>
      </c>
    </row>
    <row r="29" customFormat="false" ht="15" hidden="false" customHeight="true" outlineLevel="0" collapsed="false">
      <c r="A29" s="18" t="s">
        <v>1376</v>
      </c>
      <c r="B29" s="109" t="n">
        <f aca="false">B10*B16+B11*B14+B12*B21</f>
        <v>0.237248021421264</v>
      </c>
    </row>
    <row r="30" customFormat="false" ht="15" hidden="false" customHeight="true" outlineLevel="0" collapsed="false">
      <c r="A30" s="19" t="s">
        <v>1377</v>
      </c>
      <c r="B30" s="117" t="n">
        <f aca="false">B27-B29</f>
        <v>0.0155287099179716</v>
      </c>
      <c r="G30" s="20" t="s">
        <v>1378</v>
      </c>
    </row>
    <row r="31" customFormat="false" ht="15" hidden="false" customHeight="true" outlineLevel="0" collapsed="false">
      <c r="A31" s="21"/>
      <c r="B31" s="109"/>
    </row>
    <row r="32" customFormat="false" ht="15" hidden="false" customHeight="true" outlineLevel="0" collapsed="false">
      <c r="A32" s="15" t="s">
        <v>1379</v>
      </c>
      <c r="B32" s="188"/>
      <c r="C32" s="16"/>
      <c r="D32" s="16"/>
      <c r="E32" s="16"/>
      <c r="F32" s="16"/>
      <c r="G32" s="16"/>
    </row>
    <row r="33" customFormat="false" ht="15" hidden="false" customHeight="true" outlineLevel="0" collapsed="false">
      <c r="A33" s="21" t="s">
        <v>1380</v>
      </c>
      <c r="B33" s="109" t="n">
        <f aca="false">HistoricalCycle!B11</f>
        <v>0.1405</v>
      </c>
    </row>
    <row r="34" customFormat="false" ht="15" hidden="false" customHeight="true" outlineLevel="0" collapsed="false">
      <c r="A34" s="21" t="s">
        <v>1381</v>
      </c>
      <c r="B34" s="109" t="n">
        <f aca="false">HistoricalCycle!C11</f>
        <v>0.1851</v>
      </c>
    </row>
    <row r="35" customFormat="false" ht="15" hidden="false" customHeight="true" outlineLevel="0" collapsed="false">
      <c r="A35" s="21" t="s">
        <v>1382</v>
      </c>
      <c r="B35" s="109" t="n">
        <f aca="false">ROE_Build!E11</f>
        <v>289549</v>
      </c>
    </row>
    <row r="36" customFormat="false" ht="15" hidden="false" customHeight="true" outlineLevel="0" collapsed="false">
      <c r="A36" s="21" t="s">
        <v>1383</v>
      </c>
      <c r="B36" s="109" t="n">
        <f aca="false">ROE_Build!E35</f>
        <v>506126.6</v>
      </c>
    </row>
    <row r="37" customFormat="false" ht="15" hidden="false" customHeight="true" outlineLevel="0" collapsed="false">
      <c r="A37" s="21" t="s">
        <v>1384</v>
      </c>
      <c r="B37" s="109" t="n">
        <f aca="false">HistoricalCycle!F11</f>
        <v>0.1718</v>
      </c>
    </row>
    <row r="38" customFormat="false" ht="15" hidden="false" customHeight="true" outlineLevel="0" collapsed="false">
      <c r="A38" s="21" t="s">
        <v>1385</v>
      </c>
      <c r="B38" s="109" t="n">
        <f aca="false">HistoricalCycle!H11</f>
        <v>0.0782</v>
      </c>
    </row>
    <row r="39" customFormat="false" ht="15" hidden="false" customHeight="true" outlineLevel="0" collapsed="false">
      <c r="A39" s="190" t="s">
        <v>1386</v>
      </c>
      <c r="B39" s="185" t="n">
        <f aca="false">(HistoricalCycle!B11+HistoricalCycle!C11+HistoricalCycle!F11)/3</f>
        <v>0.1658</v>
      </c>
      <c r="C39" s="191"/>
      <c r="D39" s="191"/>
      <c r="E39" s="191"/>
      <c r="F39" s="191"/>
      <c r="G39" s="192" t="s">
        <v>1387</v>
      </c>
    </row>
    <row r="40" customFormat="false" ht="15" hidden="false" customHeight="true" outlineLevel="0" collapsed="false">
      <c r="A40" s="193" t="s">
        <v>1388</v>
      </c>
      <c r="B40" s="112" t="n">
        <f aca="false">B10*HistoricalCycle!C11+B11*((HistoricalCycle!B11+HistoricalCycle!F11)/2)+B12*((HistoricalCycle!D11+HistoricalCycle!E11)/2)</f>
        <v>0.11105</v>
      </c>
      <c r="C40" s="112"/>
      <c r="D40" s="112"/>
      <c r="E40" s="112"/>
      <c r="F40" s="112"/>
      <c r="G40" s="22" t="s">
        <v>1389</v>
      </c>
    </row>
    <row r="41" customFormat="false" ht="15" hidden="false" customHeight="true" outlineLevel="0" collapsed="false">
      <c r="A41" s="104"/>
      <c r="B41" s="112"/>
      <c r="C41" s="112"/>
      <c r="D41" s="112"/>
      <c r="E41" s="112"/>
      <c r="F41" s="112"/>
    </row>
    <row r="42" customFormat="false" ht="15" hidden="false" customHeight="true" outlineLevel="0" collapsed="false">
      <c r="A42" s="194" t="s">
        <v>1390</v>
      </c>
      <c r="B42" s="195"/>
      <c r="C42" s="195"/>
      <c r="D42" s="195"/>
      <c r="E42" s="195"/>
      <c r="F42" s="195"/>
      <c r="G42" s="16"/>
    </row>
    <row r="43" customFormat="false" ht="15" hidden="false" customHeight="true" outlineLevel="0" collapsed="false">
      <c r="A43" s="196" t="s">
        <v>1391</v>
      </c>
      <c r="B43" s="191" t="n">
        <v>0.1</v>
      </c>
      <c r="C43" s="191" t="n">
        <v>0.2</v>
      </c>
      <c r="D43" s="191" t="n">
        <v>0.23</v>
      </c>
      <c r="E43" s="191" t="n">
        <v>0.3</v>
      </c>
      <c r="F43" s="191" t="n">
        <v>0.372</v>
      </c>
      <c r="G43" s="191" t="n">
        <v>0.45</v>
      </c>
    </row>
    <row r="44" customFormat="false" ht="15" hidden="false" customHeight="true" outlineLevel="0" collapsed="false">
      <c r="A44" s="105" t="n">
        <v>-0.124</v>
      </c>
      <c r="B44" s="112" t="n">
        <f aca="false">$B$10*$B$16+$B$11*$B$14+$B$12*((1-B$43)*$B$21+B$43*$A44)</f>
        <v>0.237248021421264</v>
      </c>
      <c r="C44" s="112" t="n">
        <f aca="false">$B$10*$B$16+$B$11*$B$14+$B$12*((1-C$43)*$B$21+C$43*$A44)</f>
        <v>0.237248021421264</v>
      </c>
      <c r="D44" s="112" t="n">
        <f aca="false">$B$10*$B$16+$B$11*$B$14+$B$12*((1-D$43)*$B$21+D$43*$A44)</f>
        <v>0.237248021421264</v>
      </c>
      <c r="E44" s="112" t="n">
        <f aca="false">$B$10*$B$16+$B$11*$B$14+$B$12*((1-E$43)*$B$21+E$43*$A44)</f>
        <v>0.237248021421264</v>
      </c>
      <c r="F44" s="112" t="n">
        <f aca="false">$B$10*$B$16+$B$11*$B$14+$B$12*((1-F$43)*$B$21+F$43*$A44)</f>
        <v>0.237248021421264</v>
      </c>
      <c r="G44" s="197" t="n">
        <f aca="false">$B$10*$B$16+$B$11*$B$14+$B$12*((1-G$43)*$B$21+G$43*$A44)</f>
        <v>0.237248021421264</v>
      </c>
    </row>
    <row r="45" customFormat="false" ht="15" hidden="false" customHeight="true" outlineLevel="0" collapsed="false">
      <c r="A45" s="105" t="n">
        <v>0</v>
      </c>
      <c r="B45" s="109" t="n">
        <f aca="false">$B$10*$B$16+$B$11*$B$14+$B$12*((1-B$43)*$B$21+B$43*$A45)</f>
        <v>0.240348021421264</v>
      </c>
      <c r="C45" s="197" t="n">
        <f aca="false">$B$10*$B$16+$B$11*$B$14+$B$12*((1-C$43)*$B$21+C$43*$A45)</f>
        <v>0.243448021421264</v>
      </c>
      <c r="D45" s="197" t="n">
        <f aca="false">$B$10*$B$16+$B$11*$B$14+$B$12*((1-D$43)*$B$21+D$43*$A45)</f>
        <v>0.244378021421264</v>
      </c>
      <c r="E45" s="197" t="n">
        <f aca="false">$B$10*$B$16+$B$11*$B$14+$B$12*((1-E$43)*$B$21+E$43*$A45)</f>
        <v>0.246548021421264</v>
      </c>
      <c r="F45" s="197" t="n">
        <f aca="false">$B$10*$B$16+$B$11*$B$14+$B$12*((1-F$43)*$B$21+F$43*$A45)</f>
        <v>0.248780021421264</v>
      </c>
      <c r="G45" s="111" t="n">
        <f aca="false">$B$10*$B$16+$B$11*$B$14+$B$12*((1-G$43)*$B$21+G$43*$A45)</f>
        <v>0.251198021421264</v>
      </c>
    </row>
    <row r="46" customFormat="false" ht="15" hidden="false" customHeight="true" outlineLevel="0" collapsed="false">
      <c r="A46" s="105" t="n">
        <v>0.1</v>
      </c>
      <c r="B46" s="197" t="n">
        <f aca="false">$B$10*$B$16+$B$11*$B$14+$B$12*((1-B$43)*$B$21+B$43*$A46)</f>
        <v>0.242848021421264</v>
      </c>
      <c r="C46" s="197" t="n">
        <f aca="false">$B$10*$B$16+$B$11*$B$14+$B$12*((1-C$43)*$B$21+C$43*$A46)</f>
        <v>0.248448021421264</v>
      </c>
      <c r="D46" s="197" t="n">
        <f aca="false">$B$10*$B$16+$B$11*$B$14+$B$12*((1-D$43)*$B$21+D$43*$A46)</f>
        <v>0.250128021421264</v>
      </c>
      <c r="E46" s="197" t="n">
        <f aca="false">$B$10*$B$16+$B$11*$B$14+$B$12*((1-E$43)*$B$21+E$43*$A46)</f>
        <v>0.254048021421264</v>
      </c>
      <c r="F46" s="197" t="n">
        <f aca="false">$B$10*$B$16+$B$11*$B$14+$B$12*((1-F$43)*$B$21+F$43*$A46)</f>
        <v>0.258080021421264</v>
      </c>
      <c r="G46" s="197" t="n">
        <f aca="false">$B$10*$B$16+$B$11*$B$14+$B$12*((1-G$43)*$B$21+G$43*$A46)</f>
        <v>0.262448021421264</v>
      </c>
    </row>
    <row r="47" customFormat="false" ht="15" hidden="false" customHeight="true" outlineLevel="0" collapsed="false">
      <c r="A47" s="105" t="n">
        <v>0.15</v>
      </c>
      <c r="B47" s="197" t="n">
        <f aca="false">$B$10*$B$16+$B$11*$B$14+$B$12*((1-B$43)*$B$21+B$43*$A47)</f>
        <v>0.244098021421264</v>
      </c>
      <c r="C47" s="197" t="n">
        <f aca="false">$B$10*$B$16+$B$11*$B$14+$B$12*((1-C$43)*$B$21+C$43*$A47)</f>
        <v>0.250948021421264</v>
      </c>
      <c r="D47" s="197" t="n">
        <f aca="false">$B$10*$B$16+$B$11*$B$14+$B$12*((1-D$43)*$B$21+D$43*$A47)</f>
        <v>0.253003021421264</v>
      </c>
      <c r="E47" s="197" t="n">
        <f aca="false">$B$10*$B$16+$B$11*$B$14+$B$12*((1-E$43)*$B$21+E$43*$A47)</f>
        <v>0.257798021421264</v>
      </c>
      <c r="F47" s="197" t="n">
        <f aca="false">$B$10*$B$16+$B$11*$B$14+$B$12*((1-F$43)*$B$21+F$43*$A47)</f>
        <v>0.262730021421264</v>
      </c>
      <c r="G47" s="197" t="n">
        <f aca="false">$B$10*$B$16+$B$11*$B$14+$B$12*((1-G$43)*$B$21+G$43*$A47)</f>
        <v>0.268073021421264</v>
      </c>
    </row>
    <row r="48" customFormat="false" ht="15" hidden="false" customHeight="true" outlineLevel="0" collapsed="false">
      <c r="A48" s="105" t="n">
        <v>0.25</v>
      </c>
      <c r="B48" s="197" t="n">
        <f aca="false">$B$10*$B$16+$B$11*$B$14+$B$12*((1-B$43)*$B$21+B$43*$A48)</f>
        <v>0.246598021421264</v>
      </c>
      <c r="C48" s="197" t="n">
        <f aca="false">$B$10*$B$16+$B$11*$B$14+$B$12*((1-C$43)*$B$21+C$43*$A48)</f>
        <v>0.255948021421264</v>
      </c>
      <c r="D48" s="197" t="n">
        <f aca="false">$B$10*$B$16+$B$11*$B$14+$B$12*((1-D$43)*$B$21+D$43*$A48)</f>
        <v>0.258753021421264</v>
      </c>
      <c r="E48" s="197" t="n">
        <f aca="false">$B$10*$B$16+$B$11*$B$14+$B$12*((1-E$43)*$B$21+E$43*$A48)</f>
        <v>0.265298021421264</v>
      </c>
      <c r="F48" s="197" t="n">
        <f aca="false">$B$10*$B$16+$B$11*$B$14+$B$12*((1-F$43)*$B$21+F$43*$A48)</f>
        <v>0.272030021421264</v>
      </c>
      <c r="G48" s="197" t="n">
        <f aca="false">$B$10*$B$16+$B$11*$B$14+$B$12*((1-G$43)*$B$21+G$43*$A48)</f>
        <v>0.279323021421264</v>
      </c>
    </row>
    <row r="49" customFormat="false" ht="15" hidden="false" customHeight="true" outlineLevel="0" collapsed="false">
      <c r="A49" s="105" t="n">
        <v>0.35</v>
      </c>
      <c r="B49" s="197" t="n">
        <f aca="false">$B$10*$B$16+$B$11*$B$14+$B$12*((1-B$43)*$B$21+B$43*$A49)</f>
        <v>0.249098021421264</v>
      </c>
      <c r="C49" s="197" t="n">
        <f aca="false">$B$10*$B$16+$B$11*$B$14+$B$12*((1-C$43)*$B$21+C$43*$A49)</f>
        <v>0.260948021421264</v>
      </c>
      <c r="D49" s="197" t="n">
        <f aca="false">$B$10*$B$16+$B$11*$B$14+$B$12*((1-D$43)*$B$21+D$43*$A49)</f>
        <v>0.264503021421264</v>
      </c>
      <c r="E49" s="197" t="n">
        <f aca="false">$B$10*$B$16+$B$11*$B$14+$B$12*((1-E$43)*$B$21+E$43*$A49)</f>
        <v>0.272798021421264</v>
      </c>
      <c r="F49" s="197" t="n">
        <f aca="false">$B$10*$B$16+$B$11*$B$14+$B$12*((1-F$43)*$B$21+F$43*$A49)</f>
        <v>0.281330021421264</v>
      </c>
      <c r="G49" s="197" t="n">
        <f aca="false">$B$10*$B$16+$B$11*$B$14+$B$12*((1-G$43)*$B$21+G$43*$A49)</f>
        <v>0.290573021421264</v>
      </c>
    </row>
    <row r="50" customFormat="false" ht="15" hidden="false" customHeight="true" outlineLevel="0" collapsed="false">
      <c r="A50" s="17" t="s">
        <v>1392</v>
      </c>
      <c r="B50" s="109" t="n">
        <f aca="false">B27</f>
        <v>0.252776731339235</v>
      </c>
    </row>
    <row r="51" customFormat="false" ht="15" hidden="false" customHeight="true" outlineLevel="0" collapsed="false">
      <c r="A51" s="20"/>
    </row>
    <row r="52" customFormat="false" ht="15" hidden="false" customHeight="true" outlineLevel="0" collapsed="false">
      <c r="A52" s="22" t="s">
        <v>1393</v>
      </c>
    </row>
    <row r="53" customFormat="false" ht="15" hidden="false" customHeight="true" outlineLevel="0" collapsed="false">
      <c r="A53" s="20" t="s">
        <v>1394</v>
      </c>
    </row>
    <row r="54" customFormat="false" ht="15" hidden="false" customHeight="true" outlineLevel="0" collapsed="false">
      <c r="A54" s="20" t="s">
        <v>1395</v>
      </c>
    </row>
    <row r="55" customFormat="false" ht="15" hidden="false" customHeight="true" outlineLevel="0" collapsed="false">
      <c r="A55" s="20" t="s">
        <v>1396</v>
      </c>
    </row>
    <row r="56" customFormat="false" ht="15" hidden="false" customHeight="true" outlineLevel="0" collapsed="false">
      <c r="A56" s="20" t="s">
        <v>1397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7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customHeight="false" zeroHeight="false" outlineLevelRow="0" outlineLevelCol="0"/>
  <cols>
    <col collapsed="false" customWidth="true" hidden="false" outlineLevel="0" max="1" min="1" style="1" width="34"/>
    <col collapsed="false" customWidth="true" hidden="false" outlineLevel="0" max="7" min="2" style="1" width="13"/>
    <col collapsed="false" customWidth="true" hidden="false" outlineLevel="0" max="8" min="8" style="1" width="46"/>
  </cols>
  <sheetData>
    <row r="1" customFormat="false" ht="21" hidden="false" customHeight="true" outlineLevel="0" collapsed="false">
      <c r="A1" s="177" t="s">
        <v>1398</v>
      </c>
      <c r="B1" s="172"/>
      <c r="C1" s="172"/>
      <c r="D1" s="172"/>
      <c r="E1" s="172"/>
      <c r="F1" s="172"/>
      <c r="G1" s="172"/>
      <c r="H1" s="172"/>
    </row>
    <row r="2" customFormat="false" ht="15" hidden="false" customHeight="true" outlineLevel="0" collapsed="false">
      <c r="A2" s="22" t="s">
        <v>1399</v>
      </c>
    </row>
    <row r="4" customFormat="false" ht="16.5" hidden="false" customHeight="true" outlineLevel="0" collapsed="false">
      <c r="A4" s="15" t="s">
        <v>1400</v>
      </c>
      <c r="B4" s="16"/>
      <c r="C4" s="16"/>
      <c r="D4" s="16"/>
      <c r="E4" s="16"/>
      <c r="F4" s="16"/>
      <c r="G4" s="16"/>
      <c r="H4" s="16"/>
    </row>
    <row r="5" customFormat="false" ht="15" hidden="false" customHeight="true" outlineLevel="0" collapsed="false">
      <c r="A5" s="21" t="s">
        <v>983</v>
      </c>
      <c r="B5" s="178" t="n">
        <f aca="false">RIM_3Stage!B125</f>
        <v>48.4</v>
      </c>
      <c r="H5" s="20" t="s">
        <v>1401</v>
      </c>
    </row>
    <row r="6" customFormat="false" ht="15" hidden="false" customHeight="true" outlineLevel="0" collapsed="false">
      <c r="A6" s="21" t="s">
        <v>1104</v>
      </c>
      <c r="B6" s="178" t="n">
        <f aca="false">RIM_3Stage!B126</f>
        <v>271.176843406481</v>
      </c>
      <c r="H6" s="20" t="s">
        <v>1402</v>
      </c>
    </row>
    <row r="7" customFormat="false" ht="15" hidden="false" customHeight="true" outlineLevel="0" collapsed="false">
      <c r="A7" s="18" t="s">
        <v>1077</v>
      </c>
      <c r="B7" s="178" t="n">
        <f aca="false">RIM_3Stage!B127</f>
        <v>437.94</v>
      </c>
      <c r="H7" s="20" t="s">
        <v>1403</v>
      </c>
    </row>
    <row r="8" customFormat="false" ht="15" hidden="false" customHeight="true" outlineLevel="0" collapsed="false">
      <c r="A8" s="21" t="s">
        <v>1404</v>
      </c>
      <c r="B8" s="198" t="n">
        <f aca="false">RIM_3Stage!B128</f>
        <v>0.71173894309391</v>
      </c>
      <c r="H8" s="22"/>
    </row>
    <row r="9" customFormat="false" ht="15" hidden="false" customHeight="true" outlineLevel="0" collapsed="false">
      <c r="A9" s="18" t="s">
        <v>1405</v>
      </c>
      <c r="B9" s="109" t="n">
        <f aca="false">RIM_3Stage!B10</f>
        <v>0.252776731339235</v>
      </c>
      <c r="H9" s="20" t="s">
        <v>1406</v>
      </c>
    </row>
    <row r="10" customFormat="false" ht="15" hidden="false" customHeight="true" outlineLevel="0" collapsed="false">
      <c r="A10" s="18" t="s">
        <v>1110</v>
      </c>
      <c r="B10" s="109" t="n">
        <f aca="false">RIM_3Stage!B9</f>
        <v>0.160003455644791</v>
      </c>
      <c r="H10" s="20" t="s">
        <v>1407</v>
      </c>
    </row>
    <row r="11" customFormat="false" ht="15" hidden="false" customHeight="true" outlineLevel="0" collapsed="false">
      <c r="A11" s="18" t="s">
        <v>1408</v>
      </c>
      <c r="B11" s="109" t="n">
        <f aca="false">RIM_3Stage!B11</f>
        <v>0.04</v>
      </c>
      <c r="H11" s="22"/>
    </row>
    <row r="12" customFormat="false" ht="15" hidden="false" customHeight="true" outlineLevel="0" collapsed="false">
      <c r="A12" s="21" t="s">
        <v>1409</v>
      </c>
      <c r="B12" s="109" t="n">
        <f aca="false">RIM_3Stage!B7</f>
        <v>0.120021665430103</v>
      </c>
      <c r="H12" s="22"/>
    </row>
    <row r="14" customFormat="false" ht="16.5" hidden="false" customHeight="true" outlineLevel="0" collapsed="false">
      <c r="A14" s="15" t="s">
        <v>1410</v>
      </c>
      <c r="B14" s="16"/>
      <c r="C14" s="16"/>
      <c r="D14" s="16"/>
      <c r="E14" s="16"/>
      <c r="F14" s="16"/>
      <c r="G14" s="16"/>
      <c r="H14" s="16"/>
    </row>
    <row r="15" customFormat="false" ht="15" hidden="false" customHeight="true" outlineLevel="0" collapsed="false">
      <c r="A15" s="18" t="s">
        <v>1411</v>
      </c>
      <c r="B15" s="21" t="n">
        <f aca="false">IFERROR((B9-B10)*B7/(B10-B11)*B8,0)</f>
        <v>240.97083472061</v>
      </c>
    </row>
    <row r="16" customFormat="false" ht="15" hidden="false" customHeight="true" outlineLevel="0" collapsed="false">
      <c r="A16" s="17" t="s">
        <v>1014</v>
      </c>
      <c r="B16" s="199" t="n">
        <f aca="false">B5+B6+B15</f>
        <v>560.547678127091</v>
      </c>
    </row>
    <row r="17" customFormat="false" ht="15" hidden="false" customHeight="true" outlineLevel="0" collapsed="false">
      <c r="A17" s="21" t="s">
        <v>1412</v>
      </c>
      <c r="B17" s="200" t="n">
        <f aca="false">B16*(1+B12)^3</f>
        <v>787.574831426823</v>
      </c>
    </row>
    <row r="19" customFormat="false" ht="15" hidden="false" customHeight="true" outlineLevel="0" collapsed="false">
      <c r="A19" s="19" t="s">
        <v>1413</v>
      </c>
    </row>
    <row r="20" customFormat="false" ht="15" hidden="false" customHeight="true" outlineLevel="0" collapsed="false">
      <c r="A20" s="18" t="s">
        <v>1414</v>
      </c>
      <c r="B20" s="116" t="n">
        <f aca="false">B5*(1+$B$12)^3/$B$7</f>
        <v>0.1552780321357</v>
      </c>
      <c r="H20" s="20" t="s">
        <v>1415</v>
      </c>
    </row>
    <row r="21" customFormat="false" ht="15" hidden="false" customHeight="true" outlineLevel="0" collapsed="false">
      <c r="A21" s="18" t="s">
        <v>1416</v>
      </c>
      <c r="B21" s="116" t="n">
        <f aca="false">B6*(1+$B$12)^3/$B$7</f>
        <v>0.869996004234074</v>
      </c>
      <c r="H21" s="22" t="s">
        <v>1417</v>
      </c>
    </row>
    <row r="22" customFormat="false" ht="15" hidden="false" customHeight="true" outlineLevel="0" collapsed="false">
      <c r="A22" s="18" t="s">
        <v>1418</v>
      </c>
      <c r="B22" s="116" t="n">
        <f aca="false">B15*(1+$B$12)^3/$B$7</f>
        <v>0.773088368130439</v>
      </c>
      <c r="H22" s="22" t="s">
        <v>1419</v>
      </c>
    </row>
    <row r="23" customFormat="false" ht="15" hidden="false" customHeight="true" outlineLevel="0" collapsed="false">
      <c r="A23" s="17" t="s">
        <v>1420</v>
      </c>
      <c r="B23" s="201" t="n">
        <f aca="false">B20+B21+B22</f>
        <v>1.79836240450021</v>
      </c>
      <c r="H23" s="20" t="s">
        <v>933</v>
      </c>
    </row>
    <row r="24" customFormat="false" ht="15" hidden="false" customHeight="true" outlineLevel="0" collapsed="false">
      <c r="A24" s="18" t="s">
        <v>1421</v>
      </c>
      <c r="B24" s="112" t="n">
        <f aca="false">IFERROR(B22/B23,"n/a")</f>
        <v>0.429884636264563</v>
      </c>
      <c r="H24" s="20" t="s">
        <v>1422</v>
      </c>
    </row>
    <row r="26" customFormat="false" ht="16.5" hidden="false" customHeight="true" outlineLevel="0" collapsed="false">
      <c r="A26" s="15" t="s">
        <v>1423</v>
      </c>
      <c r="B26" s="16"/>
      <c r="C26" s="16"/>
      <c r="D26" s="16"/>
      <c r="E26" s="16"/>
      <c r="F26" s="16"/>
      <c r="G26" s="16"/>
      <c r="H26" s="16"/>
    </row>
    <row r="27" customFormat="false" ht="15" hidden="false" customHeight="true" outlineLevel="0" collapsed="false">
      <c r="A27" s="18" t="s">
        <v>187</v>
      </c>
      <c r="B27" s="202" t="n">
        <f aca="false">Assumptions!B5</f>
        <v>900</v>
      </c>
      <c r="H27" s="22"/>
    </row>
    <row r="28" customFormat="false" ht="15" hidden="false" customHeight="true" outlineLevel="0" collapsed="false">
      <c r="A28" s="21" t="s">
        <v>228</v>
      </c>
      <c r="B28" s="178" t="n">
        <f aca="false">Consensus!F24</f>
        <v>437.94</v>
      </c>
      <c r="H28" s="20" t="s">
        <v>1403</v>
      </c>
    </row>
    <row r="29" customFormat="false" ht="15" hidden="false" customHeight="true" outlineLevel="0" collapsed="false">
      <c r="A29" s="17" t="s">
        <v>1424</v>
      </c>
      <c r="B29" s="201" t="n">
        <f aca="false">B27/B28</f>
        <v>2.0550760378134</v>
      </c>
      <c r="H29" s="20" t="s">
        <v>1425</v>
      </c>
    </row>
    <row r="30" customFormat="false" ht="15" hidden="false" customHeight="true" outlineLevel="0" collapsed="false">
      <c r="A30" s="17" t="s">
        <v>1426</v>
      </c>
      <c r="B30" s="201" t="n">
        <f aca="false">B23</f>
        <v>1.79836240450021</v>
      </c>
      <c r="H30" s="20" t="s">
        <v>1427</v>
      </c>
    </row>
    <row r="31" customFormat="false" ht="15" hidden="false" customHeight="true" outlineLevel="0" collapsed="false">
      <c r="A31" s="17" t="s">
        <v>1016</v>
      </c>
      <c r="B31" s="201" t="n">
        <f aca="false">B29-B30</f>
        <v>0.256713633313188</v>
      </c>
      <c r="H31" s="20" t="s">
        <v>1428</v>
      </c>
    </row>
    <row r="32" customFormat="false" ht="15" hidden="false" customHeight="true" outlineLevel="0" collapsed="false">
      <c r="A32" s="17" t="s">
        <v>1429</v>
      </c>
      <c r="B32" s="117" t="n">
        <f aca="false">IFERROR(B29/B30-1,"n/a")</f>
        <v>0.142748554279599</v>
      </c>
      <c r="H32" s="22"/>
    </row>
    <row r="34" customFormat="false" ht="16.5" hidden="false" customHeight="true" outlineLevel="0" collapsed="false">
      <c r="A34" s="15" t="s">
        <v>1430</v>
      </c>
      <c r="B34" s="16"/>
      <c r="C34" s="16"/>
      <c r="D34" s="16"/>
      <c r="E34" s="16"/>
      <c r="F34" s="16"/>
      <c r="G34" s="16"/>
      <c r="H34" s="16"/>
    </row>
    <row r="35" customFormat="false" ht="15" hidden="false" customHeight="true" outlineLevel="0" collapsed="false">
      <c r="A35" s="18" t="s">
        <v>1431</v>
      </c>
      <c r="B35" s="108" t="n">
        <f aca="false">HistoricalCycle!C16</f>
        <v>1.26</v>
      </c>
      <c r="H35" s="22" t="s">
        <v>300</v>
      </c>
    </row>
    <row r="36" customFormat="false" ht="15" hidden="false" customHeight="true" outlineLevel="0" collapsed="false">
      <c r="A36" s="18" t="s">
        <v>1432</v>
      </c>
      <c r="B36" s="108" t="n">
        <f aca="false">HistoricalCycle!H16</f>
        <v>1.952</v>
      </c>
      <c r="H36" s="22" t="s">
        <v>1433</v>
      </c>
    </row>
    <row r="37" customFormat="false" ht="15" hidden="false" customHeight="true" outlineLevel="0" collapsed="false">
      <c r="A37" s="18" t="s">
        <v>1434</v>
      </c>
      <c r="B37" s="108" t="n">
        <f aca="false">HistoricalCycle!F16</f>
        <v>2.53</v>
      </c>
      <c r="H37" s="22" t="s">
        <v>303</v>
      </c>
    </row>
    <row r="38" customFormat="false" ht="15" hidden="false" customHeight="true" outlineLevel="0" collapsed="false">
      <c r="A38" s="21" t="s">
        <v>1435</v>
      </c>
      <c r="B38" s="203" t="n">
        <f aca="false">1.54</f>
        <v>1.54</v>
      </c>
      <c r="H38" s="22" t="s">
        <v>1436</v>
      </c>
    </row>
    <row r="39" customFormat="false" ht="15" hidden="false" customHeight="true" outlineLevel="0" collapsed="false">
      <c r="A39" s="20" t="s">
        <v>1437</v>
      </c>
    </row>
    <row r="41" customFormat="false" ht="16.5" hidden="false" customHeight="true" outlineLevel="0" collapsed="false">
      <c r="A41" s="15" t="s">
        <v>1438</v>
      </c>
      <c r="B41" s="16"/>
      <c r="C41" s="16"/>
      <c r="D41" s="16"/>
      <c r="E41" s="16"/>
      <c r="F41" s="16"/>
      <c r="G41" s="16"/>
      <c r="H41" s="16"/>
    </row>
    <row r="42" customFormat="false" ht="15" hidden="false" customHeight="true" outlineLevel="0" collapsed="false">
      <c r="A42" s="204" t="s">
        <v>1029</v>
      </c>
      <c r="B42" s="191" t="n">
        <v>0.1</v>
      </c>
      <c r="C42" s="191" t="n">
        <v>0.12</v>
      </c>
      <c r="D42" s="191" t="n">
        <v>0.14</v>
      </c>
      <c r="E42" s="191" t="n">
        <v>0.16</v>
      </c>
      <c r="F42" s="191" t="n">
        <v>0.18</v>
      </c>
      <c r="G42" s="191" t="n">
        <v>0.2</v>
      </c>
    </row>
    <row r="43" customFormat="false" ht="15" hidden="false" customHeight="true" outlineLevel="0" collapsed="false">
      <c r="A43" s="105" t="n">
        <v>0.15</v>
      </c>
      <c r="B43" s="205" t="n">
        <f aca="false">IFERROR((($B$5+$B$6+($A43-B$42)*$B$7/(B$42-$B$11)*$B$8)*(1+$B$12)^3)/$B$7,"n/a")</f>
        <v>1.85860736970311</v>
      </c>
      <c r="C43" s="205" t="n">
        <f aca="false">IFERROR((($B$5+$B$6+($A43-C$42)*$B$7/(C$42-$B$11)*$B$8)*(1+$B$12)^3)/$B$7,"n/a")</f>
        <v>1.40027403636977</v>
      </c>
      <c r="D43" s="205" t="n">
        <f aca="false">IFERROR((($B$5+$B$6+($A43-D$42)*$B$7/(D$42-$B$11)*$B$8)*(1+$B$12)^3)/$B$7,"n/a")</f>
        <v>1.12527403636977</v>
      </c>
      <c r="E43" s="205" t="n">
        <f aca="false">IFERROR((($B$5+$B$6+($A43-E$42)*$B$7/(E$42-$B$11)*$B$8)*(1+$B$12)^3)/$B$7,"n/a")</f>
        <v>0.94194070303644</v>
      </c>
      <c r="F43" s="205" t="n">
        <f aca="false">IFERROR((($B$5+$B$6+($A43-F$42)*$B$7/(F$42-$B$11)*$B$8)*(1+$B$12)^3)/$B$7,"n/a")</f>
        <v>0.810988322084059</v>
      </c>
      <c r="G43" s="205" t="n">
        <f aca="false">IFERROR((($B$5+$B$6+($A43-G$42)*$B$7/(G$42-$B$11)*$B$8)*(1+$B$12)^3)/$B$7,"n/a")</f>
        <v>0.712774036369773</v>
      </c>
    </row>
    <row r="44" customFormat="false" ht="15" hidden="false" customHeight="true" outlineLevel="0" collapsed="false">
      <c r="A44" s="105" t="n">
        <v>0.2</v>
      </c>
      <c r="B44" s="205" t="n">
        <f aca="false">IFERROR((($B$5+$B$6+($A44-B$42)*$B$7/(B$42-$B$11)*$B$8)*(1+$B$12)^3)/$B$7,"n/a")</f>
        <v>2.69194070303644</v>
      </c>
      <c r="C44" s="205" t="n">
        <f aca="false">IFERROR((($B$5+$B$6+($A44-C$42)*$B$7/(C$42-$B$11)*$B$8)*(1+$B$12)^3)/$B$7,"n/a")</f>
        <v>2.02527403636977</v>
      </c>
      <c r="D44" s="205" t="n">
        <f aca="false">IFERROR((($B$5+$B$6+($A44-D$42)*$B$7/(D$42-$B$11)*$B$8)*(1+$B$12)^3)/$B$7,"n/a")</f>
        <v>1.62527403636977</v>
      </c>
      <c r="E44" s="205" t="n">
        <f aca="false">IFERROR((($B$5+$B$6+($A44-E$42)*$B$7/(E$42-$B$11)*$B$8)*(1+$B$12)^3)/$B$7,"n/a")</f>
        <v>1.35860736970311</v>
      </c>
      <c r="F44" s="205" t="n">
        <f aca="false">IFERROR((($B$5+$B$6+($A44-F$42)*$B$7/(F$42-$B$11)*$B$8)*(1+$B$12)^3)/$B$7,"n/a")</f>
        <v>1.16813117922692</v>
      </c>
      <c r="G44" s="205" t="n">
        <f aca="false">IFERROR((($B$5+$B$6+($A44-G$42)*$B$7/(G$42-$B$11)*$B$8)*(1+$B$12)^3)/$B$7,"n/a")</f>
        <v>1.02527403636977</v>
      </c>
    </row>
    <row r="45" customFormat="false" ht="15" hidden="false" customHeight="true" outlineLevel="0" collapsed="false">
      <c r="A45" s="105" t="n">
        <v>0.25</v>
      </c>
      <c r="B45" s="205" t="n">
        <f aca="false">IFERROR((($B$5+$B$6+($A45-B$42)*$B$7/(B$42-$B$11)*$B$8)*(1+$B$12)^3)/$B$7,"n/a")</f>
        <v>3.52527403636977</v>
      </c>
      <c r="C45" s="205" t="n">
        <f aca="false">IFERROR((($B$5+$B$6+($A45-C$42)*$B$7/(C$42-$B$11)*$B$8)*(1+$B$12)^3)/$B$7,"n/a")</f>
        <v>2.65027403636977</v>
      </c>
      <c r="D45" s="205" t="n">
        <f aca="false">IFERROR((($B$5+$B$6+($A45-D$42)*$B$7/(D$42-$B$11)*$B$8)*(1+$B$12)^3)/$B$7,"n/a")</f>
        <v>2.12527403636977</v>
      </c>
      <c r="E45" s="205" t="n">
        <f aca="false">IFERROR((($B$5+$B$6+($A45-E$42)*$B$7/(E$42-$B$11)*$B$8)*(1+$B$12)^3)/$B$7,"n/a")</f>
        <v>1.77527403636977</v>
      </c>
      <c r="F45" s="205" t="n">
        <f aca="false">IFERROR((($B$5+$B$6+($A45-F$42)*$B$7/(F$42-$B$11)*$B$8)*(1+$B$12)^3)/$B$7,"n/a")</f>
        <v>1.52527403636977</v>
      </c>
      <c r="G45" s="205" t="n">
        <f aca="false">IFERROR((($B$5+$B$6+($A45-G$42)*$B$7/(G$42-$B$11)*$B$8)*(1+$B$12)^3)/$B$7,"n/a")</f>
        <v>1.33777403636977</v>
      </c>
    </row>
    <row r="46" customFormat="false" ht="15" hidden="false" customHeight="true" outlineLevel="0" collapsed="false">
      <c r="A46" s="105" t="n">
        <v>0.3</v>
      </c>
      <c r="B46" s="205" t="n">
        <f aca="false">IFERROR((($B$5+$B$6+($A46-B$42)*$B$7/(B$42-$B$11)*$B$8)*(1+$B$12)^3)/$B$7,"n/a")</f>
        <v>4.35860736970311</v>
      </c>
      <c r="C46" s="205" t="n">
        <f aca="false">IFERROR((($B$5+$B$6+($A46-C$42)*$B$7/(C$42-$B$11)*$B$8)*(1+$B$12)^3)/$B$7,"n/a")</f>
        <v>3.27527403636977</v>
      </c>
      <c r="D46" s="205" t="n">
        <f aca="false">IFERROR((($B$5+$B$6+($A46-D$42)*$B$7/(D$42-$B$11)*$B$8)*(1+$B$12)^3)/$B$7,"n/a")</f>
        <v>2.62527403636977</v>
      </c>
      <c r="E46" s="205" t="n">
        <f aca="false">IFERROR((($B$5+$B$6+($A46-E$42)*$B$7/(E$42-$B$11)*$B$8)*(1+$B$12)^3)/$B$7,"n/a")</f>
        <v>2.19194070303644</v>
      </c>
      <c r="F46" s="205" t="n">
        <f aca="false">IFERROR((($B$5+$B$6+($A46-F$42)*$B$7/(F$42-$B$11)*$B$8)*(1+$B$12)^3)/$B$7,"n/a")</f>
        <v>1.88241689351263</v>
      </c>
      <c r="G46" s="205" t="n">
        <f aca="false">IFERROR((($B$5+$B$6+($A46-G$42)*$B$7/(G$42-$B$11)*$B$8)*(1+$B$12)^3)/$B$7,"n/a")</f>
        <v>1.65027403636977</v>
      </c>
    </row>
    <row r="47" customFormat="false" ht="15" hidden="false" customHeight="true" outlineLevel="0" collapsed="false">
      <c r="A47" s="105" t="n">
        <v>0.35</v>
      </c>
      <c r="B47" s="205" t="n">
        <f aca="false">IFERROR((($B$5+$B$6+($A47-B$42)*$B$7/(B$42-$B$11)*$B$8)*(1+$B$12)^3)/$B$7,"n/a")</f>
        <v>5.19194070303644</v>
      </c>
      <c r="C47" s="205" t="n">
        <f aca="false">IFERROR((($B$5+$B$6+($A47-C$42)*$B$7/(C$42-$B$11)*$B$8)*(1+$B$12)^3)/$B$7,"n/a")</f>
        <v>3.90027403636977</v>
      </c>
      <c r="D47" s="205" t="n">
        <f aca="false">IFERROR((($B$5+$B$6+($A47-D$42)*$B$7/(D$42-$B$11)*$B$8)*(1+$B$12)^3)/$B$7,"n/a")</f>
        <v>3.12527403636977</v>
      </c>
      <c r="E47" s="205" t="n">
        <f aca="false">IFERROR((($B$5+$B$6+($A47-E$42)*$B$7/(E$42-$B$11)*$B$8)*(1+$B$12)^3)/$B$7,"n/a")</f>
        <v>2.60860736970311</v>
      </c>
      <c r="F47" s="205" t="n">
        <f aca="false">IFERROR((($B$5+$B$6+($A47-F$42)*$B$7/(F$42-$B$11)*$B$8)*(1+$B$12)^3)/$B$7,"n/a")</f>
        <v>2.23955975065549</v>
      </c>
      <c r="G47" s="205" t="n">
        <f aca="false">IFERROR((($B$5+$B$6+($A47-G$42)*$B$7/(G$42-$B$11)*$B$8)*(1+$B$12)^3)/$B$7,"n/a")</f>
        <v>1.96277403636977</v>
      </c>
    </row>
    <row r="48" customFormat="false" ht="15" hidden="false" customHeight="true" outlineLevel="0" collapsed="false">
      <c r="A48" s="105" t="n">
        <v>0.4</v>
      </c>
      <c r="B48" s="205" t="n">
        <f aca="false">IFERROR((($B$5+$B$6+($A48-B$42)*$B$7/(B$42-$B$11)*$B$8)*(1+$B$12)^3)/$B$7,"n/a")</f>
        <v>6.02527403636977</v>
      </c>
      <c r="C48" s="205" t="n">
        <f aca="false">IFERROR((($B$5+$B$6+($A48-C$42)*$B$7/(C$42-$B$11)*$B$8)*(1+$B$12)^3)/$B$7,"n/a")</f>
        <v>4.52527403636977</v>
      </c>
      <c r="D48" s="205" t="n">
        <f aca="false">IFERROR((($B$5+$B$6+($A48-D$42)*$B$7/(D$42-$B$11)*$B$8)*(1+$B$12)^3)/$B$7,"n/a")</f>
        <v>3.62527403636977</v>
      </c>
      <c r="E48" s="205" t="n">
        <f aca="false">IFERROR((($B$5+$B$6+($A48-E$42)*$B$7/(E$42-$B$11)*$B$8)*(1+$B$12)^3)/$B$7,"n/a")</f>
        <v>3.02527403636977</v>
      </c>
      <c r="F48" s="205" t="n">
        <f aca="false">IFERROR((($B$5+$B$6+($A48-F$42)*$B$7/(F$42-$B$11)*$B$8)*(1+$B$12)^3)/$B$7,"n/a")</f>
        <v>2.59670260779835</v>
      </c>
      <c r="G48" s="205" t="n">
        <f aca="false">IFERROR((($B$5+$B$6+($A48-G$42)*$B$7/(G$42-$B$11)*$B$8)*(1+$B$12)^3)/$B$7,"n/a")</f>
        <v>2.27527403636977</v>
      </c>
    </row>
    <row r="50" customFormat="false" ht="15" hidden="false" customHeight="true" outlineLevel="0" collapsed="false">
      <c r="A50" s="17" t="s">
        <v>1439</v>
      </c>
      <c r="B50" s="108" t="n">
        <f aca="false">B23</f>
        <v>1.79836240450021</v>
      </c>
    </row>
    <row r="51" customFormat="false" ht="15" hidden="false" customHeight="true" outlineLevel="0" collapsed="false">
      <c r="A51" s="17" t="s">
        <v>1440</v>
      </c>
      <c r="B51" s="108" t="n">
        <f aca="false">B29</f>
        <v>2.0550760378134</v>
      </c>
    </row>
    <row r="52" customFormat="false" ht="15" hidden="false" customHeight="true" outlineLevel="0" collapsed="false">
      <c r="A52" s="20" t="s">
        <v>1441</v>
      </c>
    </row>
    <row r="53" customFormat="false" ht="15" hidden="false" customHeight="true" outlineLevel="0" collapsed="false">
      <c r="A53" s="20" t="s">
        <v>1442</v>
      </c>
    </row>
    <row r="55" customFormat="false" ht="16.5" hidden="false" customHeight="true" outlineLevel="0" collapsed="false">
      <c r="A55" s="15" t="s">
        <v>1443</v>
      </c>
      <c r="B55" s="16"/>
      <c r="C55" s="16"/>
      <c r="D55" s="16"/>
      <c r="E55" s="16"/>
      <c r="F55" s="16"/>
      <c r="G55" s="16"/>
      <c r="H55" s="16"/>
    </row>
    <row r="56" customFormat="false" ht="15" hidden="false" customHeight="true" outlineLevel="0" collapsed="false">
      <c r="A56" s="20" t="s">
        <v>1444</v>
      </c>
    </row>
    <row r="57" customFormat="false" ht="15" hidden="false" customHeight="true" outlineLevel="0" collapsed="false">
      <c r="A57" s="101" t="s">
        <v>1445</v>
      </c>
      <c r="B57" s="103" t="s">
        <v>1446</v>
      </c>
      <c r="C57" s="103" t="s">
        <v>1447</v>
      </c>
      <c r="D57" s="102" t="s">
        <v>1448</v>
      </c>
      <c r="E57" s="103" t="s">
        <v>1449</v>
      </c>
    </row>
    <row r="58" customFormat="false" ht="15" hidden="false" customHeight="true" outlineLevel="0" collapsed="false">
      <c r="A58" s="21" t="s">
        <v>1450</v>
      </c>
      <c r="B58" s="21" t="s">
        <v>1451</v>
      </c>
      <c r="C58" s="18" t="s">
        <v>1452</v>
      </c>
      <c r="D58" s="206" t="s">
        <v>1453</v>
      </c>
      <c r="E58" s="21" t="s">
        <v>1454</v>
      </c>
    </row>
    <row r="59" customFormat="false" ht="15" hidden="false" customHeight="true" outlineLevel="0" collapsed="false">
      <c r="A59" s="21" t="s">
        <v>1455</v>
      </c>
      <c r="B59" s="21" t="s">
        <v>1456</v>
      </c>
      <c r="C59" s="18" t="s">
        <v>1452</v>
      </c>
      <c r="D59" s="206" t="s">
        <v>1457</v>
      </c>
      <c r="E59" s="21" t="s">
        <v>1454</v>
      </c>
    </row>
    <row r="60" customFormat="false" ht="15" hidden="false" customHeight="true" outlineLevel="0" collapsed="false">
      <c r="A60" s="18" t="s">
        <v>1458</v>
      </c>
      <c r="B60" s="18" t="s">
        <v>1459</v>
      </c>
      <c r="C60" s="18" t="s">
        <v>1460</v>
      </c>
      <c r="D60" s="206" t="s">
        <v>1457</v>
      </c>
      <c r="E60" s="18" t="s">
        <v>174</v>
      </c>
    </row>
    <row r="61" customFormat="false" ht="15" hidden="false" customHeight="true" outlineLevel="0" collapsed="false">
      <c r="A61" s="18" t="s">
        <v>1461</v>
      </c>
      <c r="B61" s="18" t="s">
        <v>1462</v>
      </c>
      <c r="C61" s="18" t="s">
        <v>1460</v>
      </c>
      <c r="D61" s="206" t="s">
        <v>1457</v>
      </c>
      <c r="E61" s="21" t="s">
        <v>1463</v>
      </c>
    </row>
    <row r="62" customFormat="false" ht="15" hidden="false" customHeight="true" outlineLevel="0" collapsed="false">
      <c r="A62" s="21" t="s">
        <v>1464</v>
      </c>
      <c r="B62" s="21" t="s">
        <v>1465</v>
      </c>
      <c r="C62" s="18" t="s">
        <v>1466</v>
      </c>
      <c r="D62" s="206" t="s">
        <v>1457</v>
      </c>
      <c r="E62" s="18" t="s">
        <v>160</v>
      </c>
    </row>
    <row r="63" customFormat="false" ht="15" hidden="false" customHeight="true" outlineLevel="0" collapsed="false">
      <c r="A63" s="21" t="s">
        <v>1467</v>
      </c>
      <c r="B63" s="18" t="s">
        <v>1468</v>
      </c>
      <c r="C63" s="21" t="s">
        <v>1469</v>
      </c>
      <c r="D63" s="206" t="s">
        <v>1453</v>
      </c>
      <c r="E63" s="21" t="s">
        <v>1470</v>
      </c>
    </row>
    <row r="64" customFormat="false" ht="15" hidden="false" customHeight="true" outlineLevel="0" collapsed="false">
      <c r="A64" s="21" t="s">
        <v>1471</v>
      </c>
      <c r="B64" s="18" t="s">
        <v>1472</v>
      </c>
      <c r="C64" s="18" t="s">
        <v>1473</v>
      </c>
      <c r="D64" s="206" t="s">
        <v>1453</v>
      </c>
      <c r="E64" s="18" t="s">
        <v>126</v>
      </c>
    </row>
    <row r="65" customFormat="false" ht="15" hidden="false" customHeight="true" outlineLevel="0" collapsed="false">
      <c r="A65" s="18" t="s">
        <v>1474</v>
      </c>
      <c r="B65" s="21" t="s">
        <v>1475</v>
      </c>
      <c r="C65" s="21" t="s">
        <v>1476</v>
      </c>
      <c r="D65" s="206" t="s">
        <v>1453</v>
      </c>
      <c r="E65" s="18" t="s">
        <v>174</v>
      </c>
    </row>
    <row r="66" customFormat="false" ht="15" hidden="false" customHeight="true" outlineLevel="0" collapsed="false">
      <c r="A66" s="18" t="s">
        <v>1477</v>
      </c>
      <c r="B66" s="21" t="s">
        <v>1478</v>
      </c>
      <c r="C66" s="21" t="s">
        <v>1479</v>
      </c>
      <c r="D66" s="206" t="s">
        <v>1453</v>
      </c>
      <c r="E66" s="21" t="s">
        <v>1480</v>
      </c>
    </row>
    <row r="67" customFormat="false" ht="15" hidden="false" customHeight="true" outlineLevel="0" collapsed="false">
      <c r="A67" s="21" t="s">
        <v>1481</v>
      </c>
      <c r="B67" s="18" t="s">
        <v>1482</v>
      </c>
      <c r="C67" s="18" t="s">
        <v>1483</v>
      </c>
      <c r="D67" s="206" t="s">
        <v>1457</v>
      </c>
      <c r="E67" s="21" t="s">
        <v>1484</v>
      </c>
    </row>
    <row r="68" customFormat="false" ht="15" hidden="false" customHeight="true" outlineLevel="0" collapsed="false">
      <c r="A68" s="21" t="s">
        <v>1485</v>
      </c>
      <c r="B68" s="18" t="s">
        <v>1486</v>
      </c>
      <c r="C68" s="18" t="s">
        <v>1487</v>
      </c>
      <c r="D68" s="206" t="s">
        <v>1457</v>
      </c>
      <c r="E68" s="21" t="s">
        <v>1488</v>
      </c>
    </row>
    <row r="69" customFormat="false" ht="15" hidden="false" customHeight="true" outlineLevel="0" collapsed="false">
      <c r="A69" s="18" t="s">
        <v>1489</v>
      </c>
      <c r="B69" s="18" t="s">
        <v>1490</v>
      </c>
      <c r="C69" s="21" t="s">
        <v>1476</v>
      </c>
      <c r="D69" s="206" t="s">
        <v>1457</v>
      </c>
      <c r="E69" s="21" t="s">
        <v>155</v>
      </c>
    </row>
    <row r="71" customFormat="false" ht="15" hidden="false" customHeight="true" outlineLevel="0" collapsed="false">
      <c r="A71" s="20" t="s">
        <v>1491</v>
      </c>
    </row>
    <row r="72" customFormat="false" ht="15" hidden="false" customHeight="true" outlineLevel="0" collapsed="false">
      <c r="A72" s="20" t="s">
        <v>1492</v>
      </c>
    </row>
    <row r="73" customFormat="false" ht="15" hidden="false" customHeight="true" outlineLevel="0" collapsed="false">
      <c r="A73" s="20" t="s">
        <v>1493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4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customHeight="false" zeroHeight="false" outlineLevelRow="0" outlineLevelCol="0"/>
  <cols>
    <col collapsed="false" customWidth="true" hidden="false" outlineLevel="0" max="1" min="1" style="1" width="36"/>
    <col collapsed="false" customWidth="true" hidden="false" outlineLevel="0" max="5" min="2" style="1" width="14"/>
    <col collapsed="false" customWidth="true" hidden="false" outlineLevel="0" max="6" min="6" style="1" width="12"/>
    <col collapsed="false" customWidth="true" hidden="false" outlineLevel="0" max="7" min="7" style="1" width="54"/>
  </cols>
  <sheetData>
    <row r="1" customFormat="false" ht="21" hidden="false" customHeight="true" outlineLevel="0" collapsed="false">
      <c r="A1" s="171" t="s">
        <v>1494</v>
      </c>
      <c r="B1" s="172"/>
      <c r="C1" s="172"/>
      <c r="D1" s="172"/>
      <c r="E1" s="172"/>
      <c r="F1" s="172"/>
      <c r="G1" s="172"/>
    </row>
    <row r="2" customFormat="false" ht="15" hidden="false" customHeight="true" outlineLevel="0" collapsed="false">
      <c r="A2" s="22" t="s">
        <v>1495</v>
      </c>
    </row>
    <row r="4" customFormat="false" ht="16.5" hidden="false" customHeight="true" outlineLevel="0" collapsed="false">
      <c r="A4" s="15" t="s">
        <v>1496</v>
      </c>
      <c r="B4" s="16"/>
      <c r="C4" s="16"/>
      <c r="D4" s="16"/>
      <c r="E4" s="16"/>
      <c r="F4" s="16"/>
      <c r="G4" s="16"/>
    </row>
    <row r="5" customFormat="false" ht="15" hidden="false" customHeight="true" outlineLevel="0" collapsed="false">
      <c r="A5" s="18" t="s">
        <v>1497</v>
      </c>
      <c r="B5" s="109" t="n">
        <f aca="false">Assumptions!B13</f>
        <v>0.043</v>
      </c>
      <c r="G5" s="20" t="s">
        <v>1498</v>
      </c>
    </row>
    <row r="6" customFormat="false" ht="15" hidden="false" customHeight="true" outlineLevel="0" collapsed="false">
      <c r="A6" s="18" t="s">
        <v>1499</v>
      </c>
      <c r="B6" s="109" t="n">
        <f aca="false">Assumptions!B15</f>
        <v>0.05</v>
      </c>
      <c r="G6" s="20" t="s">
        <v>1500</v>
      </c>
    </row>
    <row r="7" customFormat="false" ht="15" hidden="false" customHeight="true" outlineLevel="0" collapsed="false">
      <c r="A7" s="18" t="s">
        <v>1501</v>
      </c>
      <c r="B7" s="207" t="n">
        <f aca="false">Assumptions!B14</f>
        <v>2.14</v>
      </c>
      <c r="G7" s="22" t="s">
        <v>380</v>
      </c>
    </row>
    <row r="8" customFormat="false" ht="15" hidden="false" customHeight="true" outlineLevel="0" collapsed="false">
      <c r="A8" s="19" t="s">
        <v>1502</v>
      </c>
      <c r="B8" s="117" t="n">
        <f aca="false">B5+B7*B6</f>
        <v>0.15</v>
      </c>
      <c r="G8" s="22" t="s">
        <v>1503</v>
      </c>
    </row>
    <row r="10" customFormat="false" ht="16.5" hidden="false" customHeight="true" outlineLevel="0" collapsed="false">
      <c r="A10" s="15" t="s">
        <v>1504</v>
      </c>
      <c r="B10" s="16"/>
      <c r="C10" s="16"/>
      <c r="D10" s="16"/>
      <c r="E10" s="16"/>
      <c r="F10" s="16"/>
      <c r="G10" s="16"/>
    </row>
    <row r="11" customFormat="false" ht="15" hidden="false" customHeight="true" outlineLevel="0" collapsed="false">
      <c r="A11" s="20" t="s">
        <v>1505</v>
      </c>
    </row>
    <row r="12" customFormat="false" ht="15" hidden="false" customHeight="true" outlineLevel="0" collapsed="false">
      <c r="A12" s="21" t="s">
        <v>1506</v>
      </c>
      <c r="B12" s="109" t="n">
        <f aca="false">MixPath!B27</f>
        <v>0.230183140993477</v>
      </c>
      <c r="G12" s="20" t="s">
        <v>1507</v>
      </c>
    </row>
    <row r="13" customFormat="false" ht="15" hidden="false" customHeight="true" outlineLevel="0" collapsed="false">
      <c r="A13" s="18" t="s">
        <v>1508</v>
      </c>
      <c r="B13" s="208" t="n">
        <v>0.8</v>
      </c>
      <c r="G13" s="22" t="s">
        <v>1509</v>
      </c>
    </row>
    <row r="14" customFormat="false" ht="15" hidden="false" customHeight="true" outlineLevel="0" collapsed="false">
      <c r="A14" s="17" t="s">
        <v>1510</v>
      </c>
      <c r="B14" s="209" t="n">
        <f aca="false">IFERROR((B7-B12*B13)/(1-B12),"n/a")</f>
        <v>2.54067375158466</v>
      </c>
      <c r="G14" s="22" t="s">
        <v>1511</v>
      </c>
    </row>
    <row r="16" customFormat="false" ht="16.5" hidden="false" customHeight="true" outlineLevel="0" collapsed="false">
      <c r="A16" s="15" t="s">
        <v>1512</v>
      </c>
      <c r="B16" s="16"/>
      <c r="C16" s="16"/>
      <c r="D16" s="16"/>
      <c r="E16" s="16"/>
      <c r="F16" s="16"/>
      <c r="G16" s="16"/>
    </row>
    <row r="17" customFormat="false" ht="15" hidden="false" customHeight="true" outlineLevel="0" collapsed="false">
      <c r="A17" s="101" t="s">
        <v>182</v>
      </c>
      <c r="B17" s="102" t="s">
        <v>1057</v>
      </c>
      <c r="C17" s="102" t="s">
        <v>1058</v>
      </c>
      <c r="D17" s="102" t="s">
        <v>1059</v>
      </c>
      <c r="E17" s="102" t="s">
        <v>1060</v>
      </c>
      <c r="F17" s="101"/>
    </row>
    <row r="18" customFormat="false" ht="15" hidden="false" customHeight="true" outlineLevel="0" collapsed="false">
      <c r="A18" s="21" t="s">
        <v>1513</v>
      </c>
      <c r="B18" s="109" t="n">
        <f aca="false">MixPath!B27</f>
        <v>0.230183140993477</v>
      </c>
      <c r="C18" s="109" t="n">
        <f aca="false">MixPath!C27</f>
        <v>0.179379072441549</v>
      </c>
      <c r="D18" s="109" t="n">
        <f aca="false">MixPath!D27</f>
        <v>0.211320754716981</v>
      </c>
      <c r="E18" s="109" t="n">
        <f aca="false">MixPath!E27</f>
        <v>0.226696495152871</v>
      </c>
    </row>
    <row r="19" customFormat="false" ht="15" hidden="false" customHeight="true" outlineLevel="0" collapsed="false">
      <c r="A19" s="18" t="s">
        <v>1362</v>
      </c>
      <c r="B19" s="112" t="n">
        <f aca="false">1-B18</f>
        <v>0.769816859006523</v>
      </c>
      <c r="C19" s="112" t="n">
        <f aca="false">1-C18</f>
        <v>0.820620927558452</v>
      </c>
      <c r="D19" s="112" t="n">
        <f aca="false">1-D18</f>
        <v>0.788679245283019</v>
      </c>
      <c r="E19" s="112" t="n">
        <f aca="false">1-E18</f>
        <v>0.773303504847129</v>
      </c>
    </row>
    <row r="20" customFormat="false" ht="15" hidden="false" customHeight="true" outlineLevel="0" collapsed="false">
      <c r="A20" s="17" t="s">
        <v>1514</v>
      </c>
      <c r="B20" s="209" t="n">
        <f aca="false">B19*$B$14+B18*$B$13</f>
        <v>2.14</v>
      </c>
      <c r="C20" s="209" t="n">
        <f aca="false">C19*$B$14+C18*$B$13</f>
        <v>2.22843330860205</v>
      </c>
      <c r="D20" s="209" t="n">
        <f aca="false">D19*$B$14+D18*$B$13</f>
        <v>2.17283326068375</v>
      </c>
      <c r="E20" s="209" t="n">
        <f aca="false">E19*$B$14+E18*$B$13</f>
        <v>2.14606911289582</v>
      </c>
    </row>
    <row r="21" customFormat="false" ht="15" hidden="false" customHeight="true" outlineLevel="0" collapsed="false">
      <c r="A21" s="17" t="s">
        <v>1515</v>
      </c>
      <c r="B21" s="117" t="n">
        <f aca="false">$B$5+B20*$B$6</f>
        <v>0.15</v>
      </c>
      <c r="C21" s="117" t="n">
        <f aca="false">$B$5+C20*$B$6</f>
        <v>0.154421665430103</v>
      </c>
      <c r="D21" s="117" t="n">
        <f aca="false">$B$5+D20*$B$6</f>
        <v>0.151641663034187</v>
      </c>
      <c r="E21" s="117" t="n">
        <f aca="false">$B$5+E20*$B$6</f>
        <v>0.150303455644791</v>
      </c>
      <c r="G21" s="20" t="s">
        <v>1516</v>
      </c>
    </row>
    <row r="23" customFormat="false" ht="16.5" hidden="false" customHeight="true" outlineLevel="0" collapsed="false">
      <c r="A23" s="15" t="s">
        <v>1517</v>
      </c>
      <c r="B23" s="16"/>
      <c r="C23" s="16"/>
      <c r="D23" s="16"/>
      <c r="E23" s="16"/>
      <c r="F23" s="16"/>
      <c r="G23" s="16"/>
    </row>
    <row r="24" customFormat="false" ht="15" hidden="false" customHeight="true" outlineLevel="0" collapsed="false">
      <c r="A24" s="20" t="s">
        <v>1518</v>
      </c>
    </row>
    <row r="25" customFormat="false" ht="15" hidden="false" customHeight="true" outlineLevel="0" collapsed="false">
      <c r="A25" s="204" t="s">
        <v>1519</v>
      </c>
      <c r="B25" s="103" t="s">
        <v>1520</v>
      </c>
      <c r="C25" s="103" t="s">
        <v>1521</v>
      </c>
      <c r="D25" s="103" t="s">
        <v>1522</v>
      </c>
      <c r="E25" s="103" t="s">
        <v>726</v>
      </c>
    </row>
    <row r="26" customFormat="false" ht="15" hidden="false" customHeight="true" outlineLevel="0" collapsed="false">
      <c r="A26" s="19" t="s">
        <v>1523</v>
      </c>
      <c r="B26" s="109" t="n">
        <f aca="false">C21</f>
        <v>0.154421665430103</v>
      </c>
      <c r="C26" s="210" t="n">
        <v>-0.0344</v>
      </c>
      <c r="D26" s="117" t="n">
        <f aca="false">B26+C26</f>
        <v>0.120021665430103</v>
      </c>
      <c r="E26" s="22" t="s">
        <v>1524</v>
      </c>
    </row>
    <row r="27" customFormat="false" ht="15" hidden="false" customHeight="true" outlineLevel="0" collapsed="false">
      <c r="A27" s="19" t="s">
        <v>1525</v>
      </c>
      <c r="B27" s="109" t="n">
        <f aca="false">E21</f>
        <v>0.150303455644791</v>
      </c>
      <c r="C27" s="210" t="n">
        <v>0.0197</v>
      </c>
      <c r="D27" s="117" t="n">
        <f aca="false">B27+C27</f>
        <v>0.170003455644791</v>
      </c>
      <c r="E27" s="22" t="s">
        <v>1526</v>
      </c>
    </row>
    <row r="28" customFormat="false" ht="15" hidden="false" customHeight="true" outlineLevel="0" collapsed="false">
      <c r="A28" s="17" t="s">
        <v>1527</v>
      </c>
      <c r="B28" s="109" t="n">
        <f aca="false">E21</f>
        <v>0.150303455644791</v>
      </c>
      <c r="C28" s="210" t="n">
        <v>0.0097</v>
      </c>
      <c r="D28" s="117" t="n">
        <f aca="false">B28+C28</f>
        <v>0.160003455644791</v>
      </c>
      <c r="E28" s="20" t="s">
        <v>1528</v>
      </c>
    </row>
    <row r="30" customFormat="false" ht="15" hidden="false" customHeight="true" outlineLevel="0" collapsed="false">
      <c r="A30" s="20" t="s">
        <v>1529</v>
      </c>
    </row>
    <row r="31" customFormat="false" ht="15" hidden="false" customHeight="true" outlineLevel="0" collapsed="false">
      <c r="A31" s="20" t="s">
        <v>1530</v>
      </c>
    </row>
    <row r="33" customFormat="false" ht="16.5" hidden="false" customHeight="true" outlineLevel="0" collapsed="false">
      <c r="A33" s="15" t="s">
        <v>1531</v>
      </c>
      <c r="B33" s="16"/>
      <c r="C33" s="16"/>
      <c r="D33" s="16"/>
      <c r="E33" s="16"/>
      <c r="F33" s="16"/>
      <c r="G33" s="16"/>
    </row>
    <row r="34" customFormat="false" ht="15" hidden="false" customHeight="true" outlineLevel="0" collapsed="false">
      <c r="A34" s="204" t="s">
        <v>1532</v>
      </c>
      <c r="B34" s="191" t="n">
        <v>0.03</v>
      </c>
      <c r="C34" s="191" t="n">
        <v>0.035</v>
      </c>
      <c r="D34" s="191" t="n">
        <v>0.043</v>
      </c>
      <c r="E34" s="191" t="n">
        <v>0.05</v>
      </c>
      <c r="F34" s="191" t="n">
        <v>0.055</v>
      </c>
    </row>
    <row r="35" customFormat="false" ht="15" hidden="false" customHeight="true" outlineLevel="0" collapsed="false">
      <c r="A35" s="208" t="n">
        <v>0.4</v>
      </c>
      <c r="B35" s="197" t="n">
        <f aca="false">B$34+((1-$E$18)*(($B$7-$B$12*$A35)/(1-$B$12))+$E$18*$A35)*$B$6+$C$28</f>
        <v>0.147094039419355</v>
      </c>
      <c r="C35" s="197" t="n">
        <f aca="false">C$34+((1-$E$18)*(($B$7-$B$12*$A35)/(1-$B$12))+$E$18*$A35)*$B$6+$C$28</f>
        <v>0.152094039419355</v>
      </c>
      <c r="D35" s="197" t="n">
        <f aca="false">D$34+((1-$E$18)*(($B$7-$B$12*$A35)/(1-$B$12))+$E$18*$A35)*$B$6+$C$28</f>
        <v>0.160094039419355</v>
      </c>
      <c r="E35" s="197" t="n">
        <f aca="false">E$34+((1-$E$18)*(($B$7-$B$12*$A35)/(1-$B$12))+$E$18*$A35)*$B$6+$C$28</f>
        <v>0.167094039419355</v>
      </c>
      <c r="F35" s="197" t="n">
        <f aca="false">F$34+((1-$E$18)*(($B$7-$B$12*$A35)/(1-$B$12))+$E$18*$A35)*$B$6+$C$28</f>
        <v>0.172094039419355</v>
      </c>
    </row>
    <row r="36" customFormat="false" ht="15" hidden="false" customHeight="true" outlineLevel="0" collapsed="false">
      <c r="A36" s="208" t="n">
        <v>0.6</v>
      </c>
      <c r="B36" s="197" t="n">
        <f aca="false">B$34+((1-$E$18)*(($B$7-$B$12*$A36)/(1-$B$12))+$E$18*$A36)*$B$6+$C$28</f>
        <v>0.147048747532073</v>
      </c>
      <c r="C36" s="197" t="n">
        <f aca="false">C$34+((1-$E$18)*(($B$7-$B$12*$A36)/(1-$B$12))+$E$18*$A36)*$B$6+$C$28</f>
        <v>0.152048747532073</v>
      </c>
      <c r="D36" s="197" t="n">
        <f aca="false">D$34+((1-$E$18)*(($B$7-$B$12*$A36)/(1-$B$12))+$E$18*$A36)*$B$6+$C$28</f>
        <v>0.160048747532073</v>
      </c>
      <c r="E36" s="197" t="n">
        <f aca="false">E$34+((1-$E$18)*(($B$7-$B$12*$A36)/(1-$B$12))+$E$18*$A36)*$B$6+$C$28</f>
        <v>0.167048747532073</v>
      </c>
      <c r="F36" s="197" t="n">
        <f aca="false">F$34+((1-$E$18)*(($B$7-$B$12*$A36)/(1-$B$12))+$E$18*$A36)*$B$6+$C$28</f>
        <v>0.172048747532073</v>
      </c>
    </row>
    <row r="37" customFormat="false" ht="15" hidden="false" customHeight="true" outlineLevel="0" collapsed="false">
      <c r="A37" s="208" t="n">
        <v>0.8</v>
      </c>
      <c r="B37" s="197" t="n">
        <f aca="false">B$34+((1-$E$18)*(($B$7-$B$12*$A37)/(1-$B$12))+$E$18*$A37)*$B$6+$C$28</f>
        <v>0.147003455644791</v>
      </c>
      <c r="C37" s="197" t="n">
        <f aca="false">C$34+((1-$E$18)*(($B$7-$B$12*$A37)/(1-$B$12))+$E$18*$A37)*$B$6+$C$28</f>
        <v>0.152003455644791</v>
      </c>
      <c r="D37" s="197" t="n">
        <f aca="false">D$34+((1-$E$18)*(($B$7-$B$12*$A37)/(1-$B$12))+$E$18*$A37)*$B$6+$C$28</f>
        <v>0.160003455644791</v>
      </c>
      <c r="E37" s="197" t="n">
        <f aca="false">E$34+((1-$E$18)*(($B$7-$B$12*$A37)/(1-$B$12))+$E$18*$A37)*$B$6+$C$28</f>
        <v>0.167003455644791</v>
      </c>
      <c r="F37" s="197" t="n">
        <f aca="false">F$34+((1-$E$18)*(($B$7-$B$12*$A37)/(1-$B$12))+$E$18*$A37)*$B$6+$C$28</f>
        <v>0.172003455644791</v>
      </c>
    </row>
    <row r="38" customFormat="false" ht="15" hidden="false" customHeight="true" outlineLevel="0" collapsed="false">
      <c r="A38" s="208" t="n">
        <v>1</v>
      </c>
      <c r="B38" s="197" t="n">
        <f aca="false">B$34+((1-$E$18)*(($B$7-$B$12*$A38)/(1-$B$12))+$E$18*$A38)*$B$6+$C$28</f>
        <v>0.146958163757509</v>
      </c>
      <c r="C38" s="197" t="n">
        <f aca="false">C$34+((1-$E$18)*(($B$7-$B$12*$A38)/(1-$B$12))+$E$18*$A38)*$B$6+$C$28</f>
        <v>0.151958163757509</v>
      </c>
      <c r="D38" s="197" t="n">
        <f aca="false">D$34+((1-$E$18)*(($B$7-$B$12*$A38)/(1-$B$12))+$E$18*$A38)*$B$6+$C$28</f>
        <v>0.159958163757509</v>
      </c>
      <c r="E38" s="197" t="n">
        <f aca="false">E$34+((1-$E$18)*(($B$7-$B$12*$A38)/(1-$B$12))+$E$18*$A38)*$B$6+$C$28</f>
        <v>0.166958163757509</v>
      </c>
      <c r="F38" s="197" t="n">
        <f aca="false">F$34+((1-$E$18)*(($B$7-$B$12*$A38)/(1-$B$12))+$E$18*$A38)*$B$6+$C$28</f>
        <v>0.171958163757509</v>
      </c>
    </row>
    <row r="39" customFormat="false" ht="15" hidden="false" customHeight="true" outlineLevel="0" collapsed="false">
      <c r="A39" s="208" t="n">
        <v>1.4</v>
      </c>
      <c r="B39" s="197" t="n">
        <f aca="false">B$34+((1-$E$18)*(($B$7-$B$12*$A39)/(1-$B$12))+$E$18*$A39)*$B$6+$C$28</f>
        <v>0.146867579982944</v>
      </c>
      <c r="C39" s="197" t="n">
        <f aca="false">C$34+((1-$E$18)*(($B$7-$B$12*$A39)/(1-$B$12))+$E$18*$A39)*$B$6+$C$28</f>
        <v>0.151867579982944</v>
      </c>
      <c r="D39" s="197" t="n">
        <f aca="false">D$34+((1-$E$18)*(($B$7-$B$12*$A39)/(1-$B$12))+$E$18*$A39)*$B$6+$C$28</f>
        <v>0.159867579982944</v>
      </c>
      <c r="E39" s="197" t="n">
        <f aca="false">E$34+((1-$E$18)*(($B$7-$B$12*$A39)/(1-$B$12))+$E$18*$A39)*$B$6+$C$28</f>
        <v>0.166867579982944</v>
      </c>
      <c r="F39" s="197" t="n">
        <f aca="false">F$34+((1-$E$18)*(($B$7-$B$12*$A39)/(1-$B$12))+$E$18*$A39)*$B$6+$C$28</f>
        <v>0.171867579982944</v>
      </c>
    </row>
    <row r="40" customFormat="false" ht="15" hidden="false" customHeight="true" outlineLevel="0" collapsed="false">
      <c r="A40" s="208" t="n">
        <v>1.8</v>
      </c>
      <c r="B40" s="197" t="n">
        <f aca="false">B$34+((1-$E$18)*(($B$7-$B$12*$A40)/(1-$B$12))+$E$18*$A40)*$B$6+$C$28</f>
        <v>0.14677699620838</v>
      </c>
      <c r="C40" s="197" t="n">
        <f aca="false">C$34+((1-$E$18)*(($B$7-$B$12*$A40)/(1-$B$12))+$E$18*$A40)*$B$6+$C$28</f>
        <v>0.15177699620838</v>
      </c>
      <c r="D40" s="197" t="n">
        <f aca="false">D$34+((1-$E$18)*(($B$7-$B$12*$A40)/(1-$B$12))+$E$18*$A40)*$B$6+$C$28</f>
        <v>0.15977699620838</v>
      </c>
      <c r="E40" s="197" t="n">
        <f aca="false">E$34+((1-$E$18)*(($B$7-$B$12*$A40)/(1-$B$12))+$E$18*$A40)*$B$6+$C$28</f>
        <v>0.16677699620838</v>
      </c>
      <c r="F40" s="197" t="n">
        <f aca="false">F$34+((1-$E$18)*(($B$7-$B$12*$A40)/(1-$B$12))+$E$18*$A40)*$B$6+$C$28</f>
        <v>0.17177699620838</v>
      </c>
    </row>
    <row r="42" customFormat="false" ht="15" hidden="false" customHeight="true" outlineLevel="0" collapsed="false">
      <c r="A42" s="17" t="s">
        <v>1439</v>
      </c>
      <c r="B42" s="109" t="n">
        <f aca="false">D28</f>
        <v>0.160003455644791</v>
      </c>
    </row>
    <row r="43" customFormat="false" ht="15" hidden="false" customHeight="true" outlineLevel="0" collapsed="false">
      <c r="A43" s="20" t="s">
        <v>1533</v>
      </c>
    </row>
    <row r="44" customFormat="false" ht="15" hidden="false" customHeight="true" outlineLevel="0" collapsed="false">
      <c r="A44" s="20" t="s">
        <v>1534</v>
      </c>
    </row>
    <row r="45" customFormat="false" ht="15" hidden="false" customHeight="true" outlineLevel="0" collapsed="false">
      <c r="A45" s="20" t="s">
        <v>1535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5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customHeight="false" zeroHeight="false" outlineLevelRow="0" outlineLevelCol="0"/>
  <cols>
    <col collapsed="false" customWidth="true" hidden="false" outlineLevel="0" max="1" min="1" style="1" width="32"/>
    <col collapsed="false" customWidth="true" hidden="false" outlineLevel="0" max="6" min="2" style="1" width="13"/>
    <col collapsed="false" customWidth="true" hidden="false" outlineLevel="0" max="7" min="7" style="1" width="12"/>
    <col collapsed="false" customWidth="true" hidden="false" outlineLevel="0" max="8" min="8" style="1" width="10"/>
    <col collapsed="false" customWidth="true" hidden="false" outlineLevel="0" max="9" min="9" style="1" width="40"/>
  </cols>
  <sheetData>
    <row r="1" customFormat="false" ht="21" hidden="false" customHeight="true" outlineLevel="0" collapsed="false">
      <c r="A1" s="171" t="s">
        <v>1536</v>
      </c>
      <c r="B1" s="172"/>
      <c r="C1" s="172"/>
      <c r="D1" s="172"/>
      <c r="E1" s="172"/>
      <c r="F1" s="172"/>
      <c r="G1" s="172"/>
      <c r="H1" s="172"/>
      <c r="I1" s="172"/>
    </row>
    <row r="2" customFormat="false" ht="15" hidden="false" customHeight="true" outlineLevel="0" collapsed="false">
      <c r="A2" s="20" t="s">
        <v>1537</v>
      </c>
    </row>
    <row r="4" customFormat="false" ht="16.5" hidden="false" customHeight="true" outlineLevel="0" collapsed="false">
      <c r="A4" s="15" t="s">
        <v>1538</v>
      </c>
      <c r="B4" s="16"/>
      <c r="C4" s="16"/>
      <c r="D4" s="16"/>
      <c r="E4" s="16"/>
      <c r="F4" s="16"/>
      <c r="G4" s="16"/>
      <c r="H4" s="16"/>
      <c r="I4" s="16"/>
    </row>
    <row r="5" customFormat="false" ht="15" hidden="false" customHeight="true" outlineLevel="0" collapsed="false">
      <c r="A5" s="21" t="s">
        <v>1539</v>
      </c>
      <c r="B5" s="109" t="n">
        <f aca="false">MixPath!E6</f>
        <v>0.38</v>
      </c>
    </row>
    <row r="6" customFormat="false" ht="15" hidden="false" customHeight="true" outlineLevel="0" collapsed="false">
      <c r="A6" s="18" t="s">
        <v>1540</v>
      </c>
      <c r="B6" s="108" t="n">
        <f aca="false">MixPath!E7</f>
        <v>3.1</v>
      </c>
    </row>
    <row r="7" customFormat="false" ht="15" hidden="false" customHeight="true" outlineLevel="0" collapsed="false">
      <c r="A7" s="21" t="s">
        <v>1541</v>
      </c>
      <c r="B7" s="108" t="n">
        <f aca="false">MixPath!E15</f>
        <v>2</v>
      </c>
    </row>
    <row r="8" customFormat="false" ht="15" hidden="false" customHeight="true" outlineLevel="0" collapsed="false">
      <c r="A8" s="21" t="s">
        <v>1542</v>
      </c>
      <c r="B8" s="109" t="n">
        <f aca="false">MixPath!E8</f>
        <v>0.8</v>
      </c>
    </row>
    <row r="9" customFormat="false" ht="15" hidden="false" customHeight="true" outlineLevel="0" collapsed="false">
      <c r="A9" s="18" t="s">
        <v>1543</v>
      </c>
      <c r="B9" s="109" t="n">
        <f aca="false">SegmentMargin!B45</f>
        <v>0.8</v>
      </c>
    </row>
    <row r="10" customFormat="false" ht="15" hidden="false" customHeight="true" outlineLevel="0" collapsed="false">
      <c r="A10" s="18" t="s">
        <v>1544</v>
      </c>
      <c r="B10" s="108" t="n">
        <f aca="false">SegmentMargin!E40</f>
        <v>0.61</v>
      </c>
    </row>
    <row r="11" customFormat="false" ht="15" hidden="false" customHeight="true" outlineLevel="0" collapsed="false">
      <c r="A11" s="21" t="s">
        <v>1545</v>
      </c>
      <c r="B11" s="109" t="n">
        <f aca="false">SegmentMargin!B46</f>
        <v>0.5</v>
      </c>
    </row>
    <row r="12" customFormat="false" ht="15" hidden="false" customHeight="true" outlineLevel="0" collapsed="false">
      <c r="A12" s="21" t="s">
        <v>1546</v>
      </c>
      <c r="B12" s="108" t="n">
        <f aca="false">SegmentMargin!E41</f>
        <v>1.79</v>
      </c>
    </row>
    <row r="13" customFormat="false" ht="15" hidden="false" customHeight="true" outlineLevel="0" collapsed="false">
      <c r="A13" s="21" t="s">
        <v>1547</v>
      </c>
      <c r="B13" s="109" t="n">
        <f aca="false">SegmentMargin!B47</f>
        <v>0.5</v>
      </c>
    </row>
    <row r="14" customFormat="false" ht="15" hidden="false" customHeight="true" outlineLevel="0" collapsed="false">
      <c r="A14" s="21" t="s">
        <v>1548</v>
      </c>
      <c r="B14" s="108" t="n">
        <f aca="false">SegmentMargin!E42</f>
        <v>0.82</v>
      </c>
    </row>
    <row r="15" customFormat="false" ht="15" hidden="false" customHeight="true" outlineLevel="0" collapsed="false">
      <c r="A15" s="21" t="s">
        <v>1549</v>
      </c>
      <c r="B15" s="110" t="n">
        <f aca="false">ROE_Build!E11</f>
        <v>289549</v>
      </c>
    </row>
    <row r="16" customFormat="false" ht="15" hidden="false" customHeight="true" outlineLevel="0" collapsed="false">
      <c r="A16" s="18" t="s">
        <v>444</v>
      </c>
      <c r="B16" s="109" t="n">
        <f aca="false">ROE_Build!B5</f>
        <v>0.145</v>
      </c>
    </row>
    <row r="17" customFormat="false" ht="15" hidden="false" customHeight="true" outlineLevel="0" collapsed="false">
      <c r="A17" s="21" t="s">
        <v>1550</v>
      </c>
      <c r="B17" s="110" t="n">
        <f aca="false">ROE_Build!E17</f>
        <v>611126.6</v>
      </c>
    </row>
    <row r="18" customFormat="false" ht="15" hidden="false" customHeight="true" outlineLevel="0" collapsed="false">
      <c r="A18" s="18" t="s">
        <v>1551</v>
      </c>
      <c r="B18" s="110" t="n">
        <f aca="false">ROE_Build!E34</f>
        <v>105000</v>
      </c>
    </row>
    <row r="19" customFormat="false" ht="15" hidden="false" customHeight="true" outlineLevel="0" collapsed="false">
      <c r="A19" s="18" t="s">
        <v>1552</v>
      </c>
      <c r="B19" s="109" t="n">
        <f aca="false">TerminalROE!B21</f>
        <v>-0.124</v>
      </c>
    </row>
    <row r="20" customFormat="false" ht="15" hidden="false" customHeight="true" outlineLevel="0" collapsed="false">
      <c r="A20" s="18" t="s">
        <v>1553</v>
      </c>
      <c r="B20" s="109" t="n">
        <f aca="false">TerminalROE!B22</f>
        <v>0.15</v>
      </c>
    </row>
    <row r="21" customFormat="false" ht="15" hidden="false" customHeight="true" outlineLevel="0" collapsed="false">
      <c r="A21" s="18" t="s">
        <v>1554</v>
      </c>
      <c r="B21" s="108" t="n">
        <f aca="false">TerminalROE!B15</f>
        <v>1.5</v>
      </c>
    </row>
    <row r="22" customFormat="false" ht="15" hidden="false" customHeight="true" outlineLevel="0" collapsed="false">
      <c r="A22" s="18" t="s">
        <v>1555</v>
      </c>
      <c r="B22" s="109" t="n">
        <f aca="false">TerminalROE!B10</f>
        <v>0.25</v>
      </c>
    </row>
    <row r="23" customFormat="false" ht="15" hidden="false" customHeight="true" outlineLevel="0" collapsed="false">
      <c r="A23" s="18" t="s">
        <v>1556</v>
      </c>
      <c r="B23" s="109" t="n">
        <f aca="false">TerminalROE!B11</f>
        <v>0.5</v>
      </c>
    </row>
    <row r="24" customFormat="false" ht="15" hidden="false" customHeight="true" outlineLevel="0" collapsed="false">
      <c r="A24" s="18" t="s">
        <v>1557</v>
      </c>
      <c r="B24" s="109" t="n">
        <f aca="false">TerminalROE!B12</f>
        <v>0.25</v>
      </c>
    </row>
    <row r="25" customFormat="false" ht="15" hidden="false" customHeight="true" outlineLevel="0" collapsed="false">
      <c r="A25" s="18" t="s">
        <v>1558</v>
      </c>
      <c r="B25" s="178" t="n">
        <f aca="false">RIM_3Stage!B129</f>
        <v>319.576843406481</v>
      </c>
    </row>
    <row r="26" customFormat="false" ht="15" hidden="false" customHeight="true" outlineLevel="0" collapsed="false">
      <c r="A26" s="21" t="s">
        <v>1559</v>
      </c>
      <c r="B26" s="178" t="n">
        <f aca="false">RIM_3Stage!B127</f>
        <v>437.94</v>
      </c>
    </row>
    <row r="27" customFormat="false" ht="15" hidden="false" customHeight="true" outlineLevel="0" collapsed="false">
      <c r="A27" s="21" t="s">
        <v>1560</v>
      </c>
      <c r="B27" s="198" t="n">
        <f aca="false">RIM_3Stage!B128</f>
        <v>0.71173894309391</v>
      </c>
    </row>
    <row r="28" customFormat="false" ht="15" hidden="false" customHeight="true" outlineLevel="0" collapsed="false">
      <c r="A28" s="18" t="s">
        <v>1561</v>
      </c>
      <c r="B28" s="109" t="n">
        <f aca="false">RIM_3Stage!B9</f>
        <v>0.160003455644791</v>
      </c>
    </row>
    <row r="29" customFormat="false" ht="15" hidden="false" customHeight="true" outlineLevel="0" collapsed="false">
      <c r="A29" s="18" t="s">
        <v>1562</v>
      </c>
      <c r="B29" s="109" t="n">
        <f aca="false">RIM_3Stage!B11</f>
        <v>0.04</v>
      </c>
    </row>
    <row r="31" customFormat="false" ht="16.5" hidden="false" customHeight="true" outlineLevel="0" collapsed="false">
      <c r="A31" s="15" t="s">
        <v>1563</v>
      </c>
      <c r="B31" s="16"/>
      <c r="C31" s="16"/>
      <c r="D31" s="16"/>
      <c r="E31" s="16"/>
      <c r="F31" s="16"/>
      <c r="G31" s="16"/>
      <c r="H31" s="16"/>
      <c r="I31" s="16"/>
    </row>
    <row r="32" customFormat="false" ht="15" hidden="false" customHeight="true" outlineLevel="0" collapsed="false">
      <c r="A32" s="18" t="s">
        <v>1564</v>
      </c>
      <c r="B32" s="199" t="n">
        <f aca="false">IFERROR($B$25+((($B$22*($B$15*(((1-(((($B$5/$B$6)/(($B$5/$B$6)+(1-$B$5)))*$B$7)/(((($B$5/$B$6)/(($B$5/$B$6)+(1-$B$5)))*$B$7)+(1-(($B$5/$B$6)/(($B$5/$B$6)+(1-$B$5)))))))*$B$8)*(1-(1-$B$9)/$B$10)+((((($B$5/$B$6)/(($B$5/$B$6)+(1-$B$5)))*$B$7)/(((($B$5/$B$6)/(($B$5/$B$6)+(1-$B$5)))*$B$7)+(1-(($B$5/$B$6)/(($B$5/$B$6)+(1-$B$5))))))*$B$8)*(1-(1-$B$11)/$B$12)+(1-$B$8)*(1-(1-$B$13)/$B$14))*(1-$B$16)/($B$17-$B$18))*$B$21+$B$23*($B$15*(((1-(((($B$5/$B$6)/(($B$5/$B$6)+(1-$B$5)))*$B$7)/(((($B$5/$B$6)/(($B$5/$B$6)+(1-$B$5)))*$B$7)+(1-(($B$5/$B$6)/(($B$5/$B$6)+(1-$B$5)))))))*$B$8)*(1-(1-$B$9)/$B$10)+((((($B$5/$B$6)/(($B$5/$B$6)+(1-$B$5)))*$B$7)/(((($B$5/$B$6)/(($B$5/$B$6)+(1-$B$5)))*$B$7)+(1-(($B$5/$B$6)/(($B$5/$B$6)+(1-$B$5))))))*$B$8)*(1-(1-$B$11)/$B$12)+(1-$B$8)*(1-(1-$B$13)/$B$14))*(1-$B$16)/($B$17-$B$18))+$B$24*((1-((((($B$5/$B$6)/(($B$5/$B$6)+(1-$B$5)))*$B$7)/(((($B$5/$B$6)/(($B$5/$B$6)+(1-$B$5)))*$B$7)+(1-(($B$5/$B$6)/(($B$5/$B$6)+(1-$B$5))))))*$B$8))*$B$19+((((($B$5/$B$6)/(($B$5/$B$6)+(1-$B$5)))*$B$7)/(((($B$5/$B$6)/(($B$5/$B$6)+(1-$B$5)))*$B$7)+(1-(($B$5/$B$6)/(($B$5/$B$6)+(1-$B$5))))))*$B$8)*$B$20))-$B$28)*$B$26/($B$28-$B$29))*$B$27,"n/a")</f>
        <v>560.547678127091</v>
      </c>
    </row>
    <row r="33" customFormat="false" ht="15" hidden="false" customHeight="true" outlineLevel="0" collapsed="false">
      <c r="A33" s="21" t="s">
        <v>1565</v>
      </c>
      <c r="B33" s="202" t="n">
        <f aca="false">IFERROR(RIM_3Stage!B129+((RIM_3Stage!B10-RIM_3Stage!B9)*RIM_3Stage!B127/(RIM_3Stage!B9-RIM_3Stage!B11))*RIM_3Stage!B128,"n/a")</f>
        <v>560.547678127091</v>
      </c>
    </row>
    <row r="34" customFormat="false" ht="15" hidden="false" customHeight="true" outlineLevel="0" collapsed="false">
      <c r="A34" s="18" t="s">
        <v>1566</v>
      </c>
      <c r="B34" s="211" t="n">
        <f aca="false">B32-B33</f>
        <v>0</v>
      </c>
      <c r="I34" s="22" t="s">
        <v>1567</v>
      </c>
    </row>
    <row r="36" customFormat="false" ht="16.5" hidden="false" customHeight="true" outlineLevel="0" collapsed="false">
      <c r="A36" s="15" t="s">
        <v>1568</v>
      </c>
      <c r="B36" s="16"/>
      <c r="C36" s="16"/>
      <c r="D36" s="16"/>
      <c r="E36" s="16"/>
      <c r="F36" s="16"/>
      <c r="G36" s="16"/>
      <c r="H36" s="16"/>
      <c r="I36" s="16"/>
    </row>
    <row r="37" customFormat="false" ht="15" hidden="false" customHeight="true" outlineLevel="0" collapsed="false">
      <c r="A37" s="204" t="s">
        <v>1569</v>
      </c>
      <c r="B37" s="103" t="s">
        <v>402</v>
      </c>
      <c r="C37" s="103" t="s">
        <v>1570</v>
      </c>
      <c r="D37" s="103" t="s">
        <v>1571</v>
      </c>
      <c r="E37" s="102" t="s">
        <v>1572</v>
      </c>
      <c r="F37" s="102" t="s">
        <v>1573</v>
      </c>
      <c r="G37" s="103" t="s">
        <v>1574</v>
      </c>
      <c r="H37" s="103" t="s">
        <v>1575</v>
      </c>
      <c r="I37" s="103" t="s">
        <v>1576</v>
      </c>
    </row>
    <row r="38" customFormat="false" ht="15" hidden="false" customHeight="true" outlineLevel="0" collapsed="false">
      <c r="A38" s="21" t="s">
        <v>1577</v>
      </c>
      <c r="B38" s="112" t="n">
        <f aca="false">$B$5</f>
        <v>0.38</v>
      </c>
      <c r="C38" s="176" t="n">
        <f aca="false">$B$5-0.05</f>
        <v>0.33</v>
      </c>
      <c r="D38" s="176" t="n">
        <f aca="false">$B$5+0.05</f>
        <v>0.43</v>
      </c>
      <c r="E38" s="200" t="n">
        <f aca="false">IFERROR($B$25+((($B$22*($B$15*(((1-(((($C$38/$B$6)/(($C$38/$B$6)+(1-$C$38)))*$B$7)/(((($C$38/$B$6)/(($C$38/$B$6)+(1-$C$38)))*$B$7)+(1-(($C$38/$B$6)/(($C$38/$B$6)+(1-$C$38)))))))*$B$8)*(1-(1-$B$9)/$B$10)+((((($C$38/$B$6)/(($C$38/$B$6)+(1-$C$38)))*$B$7)/(((($C$38/$B$6)/(($C$38/$B$6)+(1-$C$38)))*$B$7)+(1-(($C$38/$B$6)/(($C$38/$B$6)+(1-$C$38))))))*$B$8)*(1-(1-$B$11)/$B$12)+(1-$B$8)*(1-(1-$B$13)/$B$14))*(1-$B$16)/($B$17-$B$18))*$B$21+$B$23*($B$15*(((1-(((($C$38/$B$6)/(($C$38/$B$6)+(1-$C$38)))*$B$7)/(((($C$38/$B$6)/(($C$38/$B$6)+(1-$C$38)))*$B$7)+(1-(($C$38/$B$6)/(($C$38/$B$6)+(1-$C$38)))))))*$B$8)*(1-(1-$B$9)/$B$10)+((((($C$38/$B$6)/(($C$38/$B$6)+(1-$C$38)))*$B$7)/(((($C$38/$B$6)/(($C$38/$B$6)+(1-$C$38)))*$B$7)+(1-(($C$38/$B$6)/(($C$38/$B$6)+(1-$C$38))))))*$B$8)*(1-(1-$B$11)/$B$12)+(1-$B$8)*(1-(1-$B$13)/$B$14))*(1-$B$16)/($B$17-$B$18))+$B$24*((1-((((($C$38/$B$6)/(($C$38/$B$6)+(1-$C$38)))*$B$7)/(((($C$38/$B$6)/(($C$38/$B$6)+(1-$C$38)))*$B$7)+(1-(($C$38/$B$6)/(($C$38/$B$6)+(1-$C$38))))))*$B$8))*$B$19+((((($C$38/$B$6)/(($C$38/$B$6)+(1-$C$38)))*$B$7)/(((($C$38/$B$6)/(($C$38/$B$6)+(1-$C$38)))*$B$7)+(1-(($C$38/$B$6)/(($C$38/$B$6)+(1-$C$38))))))*$B$8)*$B$20))-$B$28)*$B$26/($B$28-$B$29))*$B$27,"n/a")</f>
        <v>552.713616015952</v>
      </c>
      <c r="F38" s="200" t="n">
        <f aca="false">IFERROR($B$25+((($B$22*($B$15*(((1-(((($D$38/$B$6)/(($D$38/$B$6)+(1-$D$38)))*$B$7)/(((($D$38/$B$6)/(($D$38/$B$6)+(1-$D$38)))*$B$7)+(1-(($D$38/$B$6)/(($D$38/$B$6)+(1-$D$38)))))))*$B$8)*(1-(1-$B$9)/$B$10)+((((($D$38/$B$6)/(($D$38/$B$6)+(1-$D$38)))*$B$7)/(((($D$38/$B$6)/(($D$38/$B$6)+(1-$D$38)))*$B$7)+(1-(($D$38/$B$6)/(($D$38/$B$6)+(1-$D$38))))))*$B$8)*(1-(1-$B$11)/$B$12)+(1-$B$8)*(1-(1-$B$13)/$B$14))*(1-$B$16)/($B$17-$B$18))*$B$21+$B$23*($B$15*(((1-(((($D$38/$B$6)/(($D$38/$B$6)+(1-$D$38)))*$B$7)/(((($D$38/$B$6)/(($D$38/$B$6)+(1-$D$38)))*$B$7)+(1-(($D$38/$B$6)/(($D$38/$B$6)+(1-$D$38)))))))*$B$8)*(1-(1-$B$9)/$B$10)+((((($D$38/$B$6)/(($D$38/$B$6)+(1-$D$38)))*$B$7)/(((($D$38/$B$6)/(($D$38/$B$6)+(1-$D$38)))*$B$7)+(1-(($D$38/$B$6)/(($D$38/$B$6)+(1-$D$38))))))*$B$8)*(1-(1-$B$11)/$B$12)+(1-$B$8)*(1-(1-$B$13)/$B$14))*(1-$B$16)/($B$17-$B$18))+$B$24*((1-((((($D$38/$B$6)/(($D$38/$B$6)+(1-$D$38)))*$B$7)/(((($D$38/$B$6)/(($D$38/$B$6)+(1-$D$38)))*$B$7)+(1-(($D$38/$B$6)/(($D$38/$B$6)+(1-$D$38))))))*$B$8))*$B$19+((((($D$38/$B$6)/(($D$38/$B$6)+(1-$D$38)))*$B$7)/(((($D$38/$B$6)/(($D$38/$B$6)+(1-$D$38)))*$B$7)+(1-(($D$38/$B$6)/(($D$38/$B$6)+(1-$D$38))))))*$B$8)*$B$20))-$B$28)*$B$26/($B$28-$B$29))*$B$27,"n/a")</f>
        <v>568.709774814639</v>
      </c>
      <c r="G38" s="199" t="n">
        <f aca="false">IFERROR(ABS(F38-E38),"n/a")</f>
        <v>15.9961587986867</v>
      </c>
      <c r="H38" s="117" t="n">
        <f aca="false">IFERROR(G38/$B$32,"n/a")</f>
        <v>0.0285366605248161</v>
      </c>
      <c r="I38" s="22" t="s">
        <v>1578</v>
      </c>
    </row>
    <row r="39" customFormat="false" ht="15" hidden="false" customHeight="true" outlineLevel="0" collapsed="false">
      <c r="A39" s="18" t="s">
        <v>1579</v>
      </c>
      <c r="B39" s="116" t="n">
        <f aca="false">$B$6</f>
        <v>3.1</v>
      </c>
      <c r="C39" s="203" t="n">
        <f aca="false">$B$6-0.3</f>
        <v>2.8</v>
      </c>
      <c r="D39" s="203" t="n">
        <f aca="false">$B$6+0.3</f>
        <v>3.4</v>
      </c>
      <c r="E39" s="200" t="n">
        <f aca="false">IFERROR($B$25+((($B$22*($B$15*(((1-(((($B$5/$C$39)/(($B$5/$C$39)+(1-$B$5)))*$B$7)/(((($B$5/$C$39)/(($B$5/$C$39)+(1-$B$5)))*$B$7)+(1-(($B$5/$C$39)/(($B$5/$C$39)+(1-$B$5)))))))*$B$8)*(1-(1-$B$9)/$B$10)+((((($B$5/$C$39)/(($B$5/$C$39)+(1-$B$5)))*$B$7)/(((($B$5/$C$39)/(($B$5/$C$39)+(1-$B$5)))*$B$7)+(1-(($B$5/$C$39)/(($B$5/$C$39)+(1-$B$5))))))*$B$8)*(1-(1-$B$11)/$B$12)+(1-$B$8)*(1-(1-$B$13)/$B$14))*(1-$B$16)/($B$17-$B$18))*$B$21+$B$23*($B$15*(((1-(((($B$5/$C$39)/(($B$5/$C$39)+(1-$B$5)))*$B$7)/(((($B$5/$C$39)/(($B$5/$C$39)+(1-$B$5)))*$B$7)+(1-(($B$5/$C$39)/(($B$5/$C$39)+(1-$B$5)))))))*$B$8)*(1-(1-$B$9)/$B$10)+((((($B$5/$C$39)/(($B$5/$C$39)+(1-$B$5)))*$B$7)/(((($B$5/$C$39)/(($B$5/$C$39)+(1-$B$5)))*$B$7)+(1-(($B$5/$C$39)/(($B$5/$C$39)+(1-$B$5))))))*$B$8)*(1-(1-$B$11)/$B$12)+(1-$B$8)*(1-(1-$B$13)/$B$14))*(1-$B$16)/($B$17-$B$18))+$B$24*((1-((((($B$5/$C$39)/(($B$5/$C$39)+(1-$B$5)))*$B$7)/(((($B$5/$C$39)/(($B$5/$C$39)+(1-$B$5)))*$B$7)+(1-(($B$5/$C$39)/(($B$5/$C$39)+(1-$B$5))))))*$B$8))*$B$19+((((($B$5/$C$39)/(($B$5/$C$39)+(1-$B$5)))*$B$7)/(((($B$5/$C$39)/(($B$5/$C$39)+(1-$B$5)))*$B$7)+(1-(($B$5/$C$39)/(($B$5/$C$39)+(1-$B$5))))))*$B$8)*$B$20))-$B$28)*$B$26/($B$28-$B$29))*$B$27,"n/a")</f>
        <v>564.464935165222</v>
      </c>
      <c r="F39" s="200" t="n">
        <f aca="false">IFERROR($B$25+((($B$22*($B$15*(((1-(((($B$5/$D$39)/(($B$5/$D$39)+(1-$B$5)))*$B$7)/(((($B$5/$D$39)/(($B$5/$D$39)+(1-$B$5)))*$B$7)+(1-(($B$5/$D$39)/(($B$5/$D$39)+(1-$B$5)))))))*$B$8)*(1-(1-$B$9)/$B$10)+((((($B$5/$D$39)/(($B$5/$D$39)+(1-$B$5)))*$B$7)/(((($B$5/$D$39)/(($B$5/$D$39)+(1-$B$5)))*$B$7)+(1-(($B$5/$D$39)/(($B$5/$D$39)+(1-$B$5))))))*$B$8)*(1-(1-$B$11)/$B$12)+(1-$B$8)*(1-(1-$B$13)/$B$14))*(1-$B$16)/($B$17-$B$18))*$B$21+$B$23*($B$15*(((1-(((($B$5/$D$39)/(($B$5/$D$39)+(1-$B$5)))*$B$7)/(((($B$5/$D$39)/(($B$5/$D$39)+(1-$B$5)))*$B$7)+(1-(($B$5/$D$39)/(($B$5/$D$39)+(1-$B$5)))))))*$B$8)*(1-(1-$B$9)/$B$10)+((((($B$5/$D$39)/(($B$5/$D$39)+(1-$B$5)))*$B$7)/(((($B$5/$D$39)/(($B$5/$D$39)+(1-$B$5)))*$B$7)+(1-(($B$5/$D$39)/(($B$5/$D$39)+(1-$B$5))))))*$B$8)*(1-(1-$B$11)/$B$12)+(1-$B$8)*(1-(1-$B$13)/$B$14))*(1-$B$16)/($B$17-$B$18))+$B$24*((1-((((($B$5/$D$39)/(($B$5/$D$39)+(1-$B$5)))*$B$7)/(((($B$5/$D$39)/(($B$5/$D$39)+(1-$B$5)))*$B$7)+(1-(($B$5/$D$39)/(($B$5/$D$39)+(1-$B$5))))))*$B$8))*$B$19+((((($B$5/$D$39)/(($B$5/$D$39)+(1-$B$5)))*$B$7)/(((($B$5/$D$39)/(($B$5/$D$39)+(1-$B$5)))*$B$7)+(1-(($B$5/$D$39)/(($B$5/$D$39)+(1-$B$5))))))*$B$8)*$B$20))-$B$28)*$B$26/($B$28-$B$29))*$B$27,"n/a")</f>
        <v>557.138517190141</v>
      </c>
      <c r="G39" s="199" t="n">
        <f aca="false">IFERROR(ABS(F39-E39),"n/a")</f>
        <v>7.32641797508074</v>
      </c>
      <c r="H39" s="117" t="n">
        <f aca="false">IFERROR(G39/$B$32,"n/a")</f>
        <v>0.0130701067205556</v>
      </c>
      <c r="I39" s="22" t="s">
        <v>1580</v>
      </c>
    </row>
    <row r="40" customFormat="false" ht="15" hidden="false" customHeight="true" outlineLevel="0" collapsed="false">
      <c r="A40" s="21" t="s">
        <v>1581</v>
      </c>
      <c r="B40" s="116" t="n">
        <f aca="false">$B$7</f>
        <v>2</v>
      </c>
      <c r="C40" s="203" t="n">
        <f aca="false">$B$7-1</f>
        <v>1</v>
      </c>
      <c r="D40" s="203" t="n">
        <f aca="false">$B$7+1</f>
        <v>3</v>
      </c>
      <c r="E40" s="200" t="n">
        <f aca="false">IFERROR($B$25+((($B$22*($B$15*(((1-(((($B$5/$B$6)/(($B$5/$B$6)+(1-$B$5)))*$C$40)/(((($B$5/$B$6)/(($B$5/$B$6)+(1-$B$5)))*$C$40)+(1-(($B$5/$B$6)/(($B$5/$B$6)+(1-$B$5)))))))*$B$8)*(1-(1-$B$9)/$B$10)+((((($B$5/$B$6)/(($B$5/$B$6)+(1-$B$5)))*$C$40)/(((($B$5/$B$6)/(($B$5/$B$6)+(1-$B$5)))*$C$40)+(1-(($B$5/$B$6)/(($B$5/$B$6)+(1-$B$5))))))*$B$8)*(1-(1-$B$11)/$B$12)+(1-$B$8)*(1-(1-$B$13)/$B$14))*(1-$B$16)/($B$17-$B$18))*$B$21+$B$23*($B$15*(((1-(((($B$5/$B$6)/(($B$5/$B$6)+(1-$B$5)))*$C$40)/(((($B$5/$B$6)/(($B$5/$B$6)+(1-$B$5)))*$C$40)+(1-(($B$5/$B$6)/(($B$5/$B$6)+(1-$B$5)))))))*$B$8)*(1-(1-$B$9)/$B$10)+((((($B$5/$B$6)/(($B$5/$B$6)+(1-$B$5)))*$C$40)/(((($B$5/$B$6)/(($B$5/$B$6)+(1-$B$5)))*$C$40)+(1-(($B$5/$B$6)/(($B$5/$B$6)+(1-$B$5))))))*$B$8)*(1-(1-$B$11)/$B$12)+(1-$B$8)*(1-(1-$B$13)/$B$14))*(1-$B$16)/($B$17-$B$18))+$B$24*((1-((((($B$5/$B$6)/(($B$5/$B$6)+(1-$B$5)))*$C$40)/(((($B$5/$B$6)/(($B$5/$B$6)+(1-$B$5)))*$C$40)+(1-(($B$5/$B$6)/(($B$5/$B$6)+(1-$B$5))))))*$B$8))*$B$19+((((($B$5/$B$6)/(($B$5/$B$6)+(1-$B$5)))*$C$40)/(((($B$5/$B$6)/(($B$5/$B$6)+(1-$B$5)))*$C$40)+(1-(($B$5/$B$6)/(($B$5/$B$6)+(1-$B$5))))))*$B$8)*$B$20))-$B$28)*$B$26/($B$28-$B$29))*$B$27,"n/a")</f>
        <v>538.602870671083</v>
      </c>
      <c r="F40" s="200" t="n">
        <f aca="false">IFERROR($B$25+((($B$22*($B$15*(((1-(((($B$5/$B$6)/(($B$5/$B$6)+(1-$B$5)))*$D$40)/(((($B$5/$B$6)/(($B$5/$B$6)+(1-$B$5)))*$D$40)+(1-(($B$5/$B$6)/(($B$5/$B$6)+(1-$B$5)))))))*$B$8)*(1-(1-$B$9)/$B$10)+((((($B$5/$B$6)/(($B$5/$B$6)+(1-$B$5)))*$D$40)/(((($B$5/$B$6)/(($B$5/$B$6)+(1-$B$5)))*$D$40)+(1-(($B$5/$B$6)/(($B$5/$B$6)+(1-$B$5))))))*$B$8)*(1-(1-$B$11)/$B$12)+(1-$B$8)*(1-(1-$B$13)/$B$14))*(1-$B$16)/($B$17-$B$18))*$B$21+$B$23*($B$15*(((1-(((($B$5/$B$6)/(($B$5/$B$6)+(1-$B$5)))*$D$40)/(((($B$5/$B$6)/(($B$5/$B$6)+(1-$B$5)))*$D$40)+(1-(($B$5/$B$6)/(($B$5/$B$6)+(1-$B$5)))))))*$B$8)*(1-(1-$B$9)/$B$10)+((((($B$5/$B$6)/(($B$5/$B$6)+(1-$B$5)))*$D$40)/(((($B$5/$B$6)/(($B$5/$B$6)+(1-$B$5)))*$D$40)+(1-(($B$5/$B$6)/(($B$5/$B$6)+(1-$B$5))))))*$B$8)*(1-(1-$B$11)/$B$12)+(1-$B$8)*(1-(1-$B$13)/$B$14))*(1-$B$16)/($B$17-$B$18))+$B$24*((1-((((($B$5/$B$6)/(($B$5/$B$6)+(1-$B$5)))*$D$40)/(((($B$5/$B$6)/(($B$5/$B$6)+(1-$B$5)))*$D$40)+(1-(($B$5/$B$6)/(($B$5/$B$6)+(1-$B$5))))))*$B$8))*$B$19+((((($B$5/$B$6)/(($B$5/$B$6)+(1-$B$5)))*$D$40)/(((($B$5/$B$6)/(($B$5/$B$6)+(1-$B$5)))*$D$40)+(1-(($B$5/$B$6)/(($B$5/$B$6)+(1-$B$5))))))*$B$8)*$B$20))-$B$28)*$B$26/($B$28-$B$29))*$B$27,"n/a")</f>
        <v>577.045701237389</v>
      </c>
      <c r="G40" s="199" t="n">
        <f aca="false">IFERROR(ABS(F40-E40),"n/a")</f>
        <v>38.4428305663057</v>
      </c>
      <c r="H40" s="117" t="n">
        <f aca="false">IFERROR(G40/$B$32,"n/a")</f>
        <v>0.0685808398934973</v>
      </c>
      <c r="I40" s="22" t="s">
        <v>1582</v>
      </c>
    </row>
    <row r="41" customFormat="false" ht="15" hidden="false" customHeight="true" outlineLevel="0" collapsed="false">
      <c r="A41" s="18" t="s">
        <v>1583</v>
      </c>
      <c r="B41" s="112" t="n">
        <f aca="false">$B$9</f>
        <v>0.8</v>
      </c>
      <c r="C41" s="176" t="n">
        <f aca="false">$B$9-0.05</f>
        <v>0.75</v>
      </c>
      <c r="D41" s="176" t="n">
        <f aca="false">$B$9+0.05</f>
        <v>0.85</v>
      </c>
      <c r="E41" s="200" t="n">
        <f aca="false">IFERROR($B$25+((($B$22*($B$15*(((1-(((($B$5/$B$6)/(($B$5/$B$6)+(1-$B$5)))*$B$7)/(((($B$5/$B$6)/(($B$5/$B$6)+(1-$B$5)))*$B$7)+(1-(($B$5/$B$6)/(($B$5/$B$6)+(1-$B$5)))))))*$B$8)*(1-(1-$C$41)/$B$10)+((((($B$5/$B$6)/(($B$5/$B$6)+(1-$B$5)))*$B$7)/(((($B$5/$B$6)/(($B$5/$B$6)+(1-$B$5)))*$B$7)+(1-(($B$5/$B$6)/(($B$5/$B$6)+(1-$B$5))))))*$B$8)*(1-(1-$B$11)/$B$12)+(1-$B$8)*(1-(1-$B$13)/$B$14))*(1-$B$16)/($B$17-$B$18))*$B$21+$B$23*($B$15*(((1-(((($B$5/$B$6)/(($B$5/$B$6)+(1-$B$5)))*$B$7)/(((($B$5/$B$6)/(($B$5/$B$6)+(1-$B$5)))*$B$7)+(1-(($B$5/$B$6)/(($B$5/$B$6)+(1-$B$5)))))))*$B$8)*(1-(1-$C$41)/$B$10)+((((($B$5/$B$6)/(($B$5/$B$6)+(1-$B$5)))*$B$7)/(((($B$5/$B$6)/(($B$5/$B$6)+(1-$B$5)))*$B$7)+(1-(($B$5/$B$6)/(($B$5/$B$6)+(1-$B$5))))))*$B$8)*(1-(1-$B$11)/$B$12)+(1-$B$8)*(1-(1-$B$13)/$B$14))*(1-$B$16)/($B$17-$B$18))+$B$24*((1-((((($B$5/$B$6)/(($B$5/$B$6)+(1-$B$5)))*$B$7)/(((($B$5/$B$6)/(($B$5/$B$6)+(1-$B$5)))*$B$7)+(1-(($B$5/$B$6)/(($B$5/$B$6)+(1-$B$5))))))*$B$8))*$B$19+((((($B$5/$B$6)/(($B$5/$B$6)+(1-$B$5)))*$B$7)/(((($B$5/$B$6)/(($B$5/$B$6)+(1-$B$5)))*$B$7)+(1-(($B$5/$B$6)/(($B$5/$B$6)+(1-$B$5))))))*$B$8)*$B$20))-$B$28)*$B$26/($B$28-$B$29))*$B$27,"n/a")</f>
        <v>508.307646474296</v>
      </c>
      <c r="F41" s="200" t="n">
        <f aca="false">IFERROR($B$25+((($B$22*($B$15*(((1-(((($B$5/$B$6)/(($B$5/$B$6)+(1-$B$5)))*$B$7)/(((($B$5/$B$6)/(($B$5/$B$6)+(1-$B$5)))*$B$7)+(1-(($B$5/$B$6)/(($B$5/$B$6)+(1-$B$5)))))))*$B$8)*(1-(1-$D$41)/$B$10)+((((($B$5/$B$6)/(($B$5/$B$6)+(1-$B$5)))*$B$7)/(((($B$5/$B$6)/(($B$5/$B$6)+(1-$B$5)))*$B$7)+(1-(($B$5/$B$6)/(($B$5/$B$6)+(1-$B$5))))))*$B$8)*(1-(1-$B$11)/$B$12)+(1-$B$8)*(1-(1-$B$13)/$B$14))*(1-$B$16)/($B$17-$B$18))*$B$21+$B$23*($B$15*(((1-(((($B$5/$B$6)/(($B$5/$B$6)+(1-$B$5)))*$B$7)/(((($B$5/$B$6)/(($B$5/$B$6)+(1-$B$5)))*$B$7)+(1-(($B$5/$B$6)/(($B$5/$B$6)+(1-$B$5)))))))*$B$8)*(1-(1-$D$41)/$B$10)+((((($B$5/$B$6)/(($B$5/$B$6)+(1-$B$5)))*$B$7)/(((($B$5/$B$6)/(($B$5/$B$6)+(1-$B$5)))*$B$7)+(1-(($B$5/$B$6)/(($B$5/$B$6)+(1-$B$5))))))*$B$8)*(1-(1-$B$11)/$B$12)+(1-$B$8)*(1-(1-$B$13)/$B$14))*(1-$B$16)/($B$17-$B$18))+$B$24*((1-((((($B$5/$B$6)/(($B$5/$B$6)+(1-$B$5)))*$B$7)/(((($B$5/$B$6)/(($B$5/$B$6)+(1-$B$5)))*$B$7)+(1-(($B$5/$B$6)/(($B$5/$B$6)+(1-$B$5))))))*$B$8))*$B$19+((((($B$5/$B$6)/(($B$5/$B$6)+(1-$B$5)))*$B$7)/(((($B$5/$B$6)/(($B$5/$B$6)+(1-$B$5)))*$B$7)+(1-(($B$5/$B$6)/(($B$5/$B$6)+(1-$B$5))))))*$B$8)*$B$20))-$B$28)*$B$26/($B$28-$B$29))*$B$27,"n/a")</f>
        <v>612.787709779886</v>
      </c>
      <c r="G41" s="199" t="n">
        <f aca="false">IFERROR(ABS(F41-E41),"n/a")</f>
        <v>104.480063305589</v>
      </c>
      <c r="H41" s="117" t="n">
        <f aca="false">IFERROR(G41/$B$32,"n/a")</f>
        <v>0.186389253550527</v>
      </c>
      <c r="I41" s="22" t="s">
        <v>1578</v>
      </c>
    </row>
    <row r="42" customFormat="false" ht="15" hidden="false" customHeight="true" outlineLevel="0" collapsed="false">
      <c r="A42" s="18" t="s">
        <v>1584</v>
      </c>
      <c r="B42" s="116" t="n">
        <f aca="false">$B$10</f>
        <v>0.61</v>
      </c>
      <c r="C42" s="203" t="n">
        <f aca="false">$B$10-0.1</f>
        <v>0.51</v>
      </c>
      <c r="D42" s="203" t="n">
        <f aca="false">$B$10+0.1</f>
        <v>0.71</v>
      </c>
      <c r="E42" s="200" t="n">
        <f aca="false">IFERROR($B$25+((($B$22*($B$15*(((1-(((($B$5/$B$6)/(($B$5/$B$6)+(1-$B$5)))*$B$7)/(((($B$5/$B$6)/(($B$5/$B$6)+(1-$B$5)))*$B$7)+(1-(($B$5/$B$6)/(($B$5/$B$6)+(1-$B$5)))))))*$B$8)*(1-(1-$B$9)/$C$42)+((((($B$5/$B$6)/(($B$5/$B$6)+(1-$B$5)))*$B$7)/(((($B$5/$B$6)/(($B$5/$B$6)+(1-$B$5)))*$B$7)+(1-(($B$5/$B$6)/(($B$5/$B$6)+(1-$B$5))))))*$B$8)*(1-(1-$B$11)/$B$12)+(1-$B$8)*(1-(1-$B$13)/$B$14))*(1-$B$16)/($B$17-$B$18))*$B$21+$B$23*($B$15*(((1-(((($B$5/$B$6)/(($B$5/$B$6)+(1-$B$5)))*$B$7)/(((($B$5/$B$6)/(($B$5/$B$6)+(1-$B$5)))*$B$7)+(1-(($B$5/$B$6)/(($B$5/$B$6)+(1-$B$5)))))))*$B$8)*(1-(1-$B$9)/$C$42)+((((($B$5/$B$6)/(($B$5/$B$6)+(1-$B$5)))*$B$7)/(((($B$5/$B$6)/(($B$5/$B$6)+(1-$B$5)))*$B$7)+(1-(($B$5/$B$6)/(($B$5/$B$6)+(1-$B$5))))))*$B$8)*(1-(1-$B$11)/$B$12)+(1-$B$8)*(1-(1-$B$13)/$B$14))*(1-$B$16)/($B$17-$B$18))+$B$24*((1-((((($B$5/$B$6)/(($B$5/$B$6)+(1-$B$5)))*$B$7)/(((($B$5/$B$6)/(($B$5/$B$6)+(1-$B$5)))*$B$7)+(1-(($B$5/$B$6)/(($B$5/$B$6)+(1-$B$5))))))*$B$8))*$B$19+((((($B$5/$B$6)/(($B$5/$B$6)+(1-$B$5)))*$B$7)/(((($B$5/$B$6)/(($B$5/$B$6)+(1-$B$5)))*$B$7)+(1-(($B$5/$B$6)/(($B$5/$B$6)+(1-$B$5))))))*$B$8)*$B$20))-$B$28)*$B$26/($B$28-$B$29))*$B$27,"n/a")</f>
        <v>519.575104281762</v>
      </c>
      <c r="F42" s="200" t="n">
        <f aca="false">IFERROR($B$25+((($B$22*($B$15*(((1-(((($B$5/$B$6)/(($B$5/$B$6)+(1-$B$5)))*$B$7)/(((($B$5/$B$6)/(($B$5/$B$6)+(1-$B$5)))*$B$7)+(1-(($B$5/$B$6)/(($B$5/$B$6)+(1-$B$5)))))))*$B$8)*(1-(1-$B$9)/$D$42)+((((($B$5/$B$6)/(($B$5/$B$6)+(1-$B$5)))*$B$7)/(((($B$5/$B$6)/(($B$5/$B$6)+(1-$B$5)))*$B$7)+(1-(($B$5/$B$6)/(($B$5/$B$6)+(1-$B$5))))))*$B$8)*(1-(1-$B$11)/$B$12)+(1-$B$8)*(1-(1-$B$13)/$B$14))*(1-$B$16)/($B$17-$B$18))*$B$21+$B$23*($B$15*(((1-(((($B$5/$B$6)/(($B$5/$B$6)+(1-$B$5)))*$B$7)/(((($B$5/$B$6)/(($B$5/$B$6)+(1-$B$5)))*$B$7)+(1-(($B$5/$B$6)/(($B$5/$B$6)+(1-$B$5)))))))*$B$8)*(1-(1-$B$9)/$D$42)+((((($B$5/$B$6)/(($B$5/$B$6)+(1-$B$5)))*$B$7)/(((($B$5/$B$6)/(($B$5/$B$6)+(1-$B$5)))*$B$7)+(1-(($B$5/$B$6)/(($B$5/$B$6)+(1-$B$5))))))*$B$8)*(1-(1-$B$11)/$B$12)+(1-$B$8)*(1-(1-$B$13)/$B$14))*(1-$B$16)/($B$17-$B$18))+$B$24*((1-((((($B$5/$B$6)/(($B$5/$B$6)+(1-$B$5)))*$B$7)/(((($B$5/$B$6)/(($B$5/$B$6)+(1-$B$5)))*$B$7)+(1-(($B$5/$B$6)/(($B$5/$B$6)+(1-$B$5))))))*$B$8))*$B$19+((((($B$5/$B$6)/(($B$5/$B$6)+(1-$B$5)))*$B$7)/(((($B$5/$B$6)/(($B$5/$B$6)+(1-$B$5)))*$B$7)+(1-(($B$5/$B$6)/(($B$5/$B$6)+(1-$B$5))))))*$B$8)*$B$20))-$B$28)*$B$26/($B$28-$B$29))*$B$27,"n/a")</f>
        <v>589.978681875144</v>
      </c>
      <c r="G42" s="199" t="n">
        <f aca="false">IFERROR(ABS(F42-E42),"n/a")</f>
        <v>70.4035775933824</v>
      </c>
      <c r="H42" s="117" t="n">
        <f aca="false">IFERROR(G42/$B$32,"n/a")</f>
        <v>0.12559784000643</v>
      </c>
      <c r="I42" s="22" t="s">
        <v>1585</v>
      </c>
    </row>
    <row r="43" customFormat="false" ht="15" hidden="false" customHeight="true" outlineLevel="0" collapsed="false">
      <c r="A43" s="21" t="s">
        <v>1586</v>
      </c>
      <c r="B43" s="112" t="n">
        <f aca="false">$B$11</f>
        <v>0.5</v>
      </c>
      <c r="C43" s="176" t="n">
        <f aca="false">$B$11-0.05</f>
        <v>0.45</v>
      </c>
      <c r="D43" s="176" t="n">
        <f aca="false">$B$11+0.05</f>
        <v>0.55</v>
      </c>
      <c r="E43" s="200" t="n">
        <f aca="false">IFERROR($B$25+((($B$22*($B$15*(((1-(((($B$5/$B$6)/(($B$5/$B$6)+(1-$B$5)))*$B$7)/(((($B$5/$B$6)/(($B$5/$B$6)+(1-$B$5)))*$B$7)+(1-(($B$5/$B$6)/(($B$5/$B$6)+(1-$B$5)))))))*$B$8)*(1-(1-$B$9)/$B$10)+((((($B$5/$B$6)/(($B$5/$B$6)+(1-$B$5)))*$B$7)/(((($B$5/$B$6)/(($B$5/$B$6)+(1-$B$5)))*$B$7)+(1-(($B$5/$B$6)/(($B$5/$B$6)+(1-$B$5))))))*$B$8)*(1-(1-$C$43)/$B$12)+(1-$B$8)*(1-(1-$B$13)/$B$14))*(1-$B$16)/($B$17-$B$18))*$B$21+$B$23*($B$15*(((1-(((($B$5/$B$6)/(($B$5/$B$6)+(1-$B$5)))*$B$7)/(((($B$5/$B$6)/(($B$5/$B$6)+(1-$B$5)))*$B$7)+(1-(($B$5/$B$6)/(($B$5/$B$6)+(1-$B$5)))))))*$B$8)*(1-(1-$B$9)/$B$10)+((((($B$5/$B$6)/(($B$5/$B$6)+(1-$B$5)))*$B$7)/(((($B$5/$B$6)/(($B$5/$B$6)+(1-$B$5)))*$B$7)+(1-(($B$5/$B$6)/(($B$5/$B$6)+(1-$B$5))))))*$B$8)*(1-(1-$C$43)/$B$12)+(1-$B$8)*(1-(1-$B$13)/$B$14))*(1-$B$16)/($B$17-$B$18))+$B$24*((1-((((($B$5/$B$6)/(($B$5/$B$6)+(1-$B$5)))*$B$7)/(((($B$5/$B$6)/(($B$5/$B$6)+(1-$B$5)))*$B$7)+(1-(($B$5/$B$6)/(($B$5/$B$6)+(1-$B$5))))))*$B$8))*$B$19+((((($B$5/$B$6)/(($B$5/$B$6)+(1-$B$5)))*$B$7)/(((($B$5/$B$6)/(($B$5/$B$6)+(1-$B$5)))*$B$7)+(1-(($B$5/$B$6)/(($B$5/$B$6)+(1-$B$5))))))*$B$8)*$B$20))-$B$28)*$B$26/($B$28-$B$29))*$B$27,"n/a")</f>
        <v>553.508200315269</v>
      </c>
      <c r="F43" s="200" t="n">
        <f aca="false">IFERROR($B$25+((($B$22*($B$15*(((1-(((($B$5/$B$6)/(($B$5/$B$6)+(1-$B$5)))*$B$7)/(((($B$5/$B$6)/(($B$5/$B$6)+(1-$B$5)))*$B$7)+(1-(($B$5/$B$6)/(($B$5/$B$6)+(1-$B$5)))))))*$B$8)*(1-(1-$B$9)/$B$10)+((((($B$5/$B$6)/(($B$5/$B$6)+(1-$B$5)))*$B$7)/(((($B$5/$B$6)/(($B$5/$B$6)+(1-$B$5)))*$B$7)+(1-(($B$5/$B$6)/(($B$5/$B$6)+(1-$B$5))))))*$B$8)*(1-(1-$D$43)/$B$12)+(1-$B$8)*(1-(1-$B$13)/$B$14))*(1-$B$16)/($B$17-$B$18))*$B$21+$B$23*($B$15*(((1-(((($B$5/$B$6)/(($B$5/$B$6)+(1-$B$5)))*$B$7)/(((($B$5/$B$6)/(($B$5/$B$6)+(1-$B$5)))*$B$7)+(1-(($B$5/$B$6)/(($B$5/$B$6)+(1-$B$5)))))))*$B$8)*(1-(1-$B$9)/$B$10)+((((($B$5/$B$6)/(($B$5/$B$6)+(1-$B$5)))*$B$7)/(((($B$5/$B$6)/(($B$5/$B$6)+(1-$B$5)))*$B$7)+(1-(($B$5/$B$6)/(($B$5/$B$6)+(1-$B$5))))))*$B$8)*(1-(1-$D$43)/$B$12)+(1-$B$8)*(1-(1-$B$13)/$B$14))*(1-$B$16)/($B$17-$B$18))+$B$24*((1-((((($B$5/$B$6)/(($B$5/$B$6)+(1-$B$5)))*$B$7)/(((($B$5/$B$6)/(($B$5/$B$6)+(1-$B$5)))*$B$7)+(1-(($B$5/$B$6)/(($B$5/$B$6)+(1-$B$5))))))*$B$8))*$B$19+((((($B$5/$B$6)/(($B$5/$B$6)+(1-$B$5)))*$B$7)/(((($B$5/$B$6)/(($B$5/$B$6)+(1-$B$5)))*$B$7)+(1-(($B$5/$B$6)/(($B$5/$B$6)+(1-$B$5))))))*$B$8)*$B$20))-$B$28)*$B$26/($B$28-$B$29))*$B$27,"n/a")</f>
        <v>567.587155938913</v>
      </c>
      <c r="G43" s="199" t="n">
        <f aca="false">IFERROR(ABS(F43-E43),"n/a")</f>
        <v>14.0789556236438</v>
      </c>
      <c r="H43" s="117" t="n">
        <f aca="false">IFERROR(G43/$B$32,"n/a")</f>
        <v>0.0251164284021023</v>
      </c>
      <c r="I43" s="22" t="s">
        <v>1578</v>
      </c>
    </row>
    <row r="44" customFormat="false" ht="15" hidden="false" customHeight="true" outlineLevel="0" collapsed="false">
      <c r="A44" s="21" t="s">
        <v>1587</v>
      </c>
      <c r="B44" s="116" t="n">
        <f aca="false">$B$12</f>
        <v>1.79</v>
      </c>
      <c r="C44" s="203" t="n">
        <f aca="false">$B$12-0.2</f>
        <v>1.59</v>
      </c>
      <c r="D44" s="203" t="n">
        <f aca="false">$B$12+0.2</f>
        <v>1.99</v>
      </c>
      <c r="E44" s="200" t="n">
        <f aca="false">IFERROR($B$25+((($B$22*($B$15*(((1-(((($B$5/$B$6)/(($B$5/$B$6)+(1-$B$5)))*$B$7)/(((($B$5/$B$6)/(($B$5/$B$6)+(1-$B$5)))*$B$7)+(1-(($B$5/$B$6)/(($B$5/$B$6)+(1-$B$5)))))))*$B$8)*(1-(1-$B$9)/$B$10)+((((($B$5/$B$6)/(($B$5/$B$6)+(1-$B$5)))*$B$7)/(((($B$5/$B$6)/(($B$5/$B$6)+(1-$B$5)))*$B$7)+(1-(($B$5/$B$6)/(($B$5/$B$6)+(1-$B$5))))))*$B$8)*(1-(1-$B$11)/$C$44)+(1-$B$8)*(1-(1-$B$13)/$B$14))*(1-$B$16)/($B$17-$B$18))*$B$21+$B$23*($B$15*(((1-(((($B$5/$B$6)/(($B$5/$B$6)+(1-$B$5)))*$B$7)/(((($B$5/$B$6)/(($B$5/$B$6)+(1-$B$5)))*$B$7)+(1-(($B$5/$B$6)/(($B$5/$B$6)+(1-$B$5)))))))*$B$8)*(1-(1-$B$9)/$B$10)+((((($B$5/$B$6)/(($B$5/$B$6)+(1-$B$5)))*$B$7)/(((($B$5/$B$6)/(($B$5/$B$6)+(1-$B$5)))*$B$7)+(1-(($B$5/$B$6)/(($B$5/$B$6)+(1-$B$5))))))*$B$8)*(1-(1-$B$11)/$C$44)+(1-$B$8)*(1-(1-$B$13)/$B$14))*(1-$B$16)/($B$17-$B$18))+$B$24*((1-((((($B$5/$B$6)/(($B$5/$B$6)+(1-$B$5)))*$B$7)/(((($B$5/$B$6)/(($B$5/$B$6)+(1-$B$5)))*$B$7)+(1-(($B$5/$B$6)/(($B$5/$B$6)+(1-$B$5))))))*$B$8))*$B$19+((((($B$5/$B$6)/(($B$5/$B$6)+(1-$B$5)))*$B$7)/(((($B$5/$B$6)/(($B$5/$B$6)+(1-$B$5)))*$B$7)+(1-(($B$5/$B$6)/(($B$5/$B$6)+(1-$B$5))))))*$B$8)*$B$20))-$B$28)*$B$26/($B$28-$B$29))*$B$27,"n/a")</f>
        <v>551.692989055617</v>
      </c>
      <c r="F44" s="200" t="n">
        <f aca="false">IFERROR($B$25+((($B$22*($B$15*(((1-(((($B$5/$B$6)/(($B$5/$B$6)+(1-$B$5)))*$B$7)/(((($B$5/$B$6)/(($B$5/$B$6)+(1-$B$5)))*$B$7)+(1-(($B$5/$B$6)/(($B$5/$B$6)+(1-$B$5)))))))*$B$8)*(1-(1-$B$9)/$B$10)+((((($B$5/$B$6)/(($B$5/$B$6)+(1-$B$5)))*$B$7)/(((($B$5/$B$6)/(($B$5/$B$6)+(1-$B$5)))*$B$7)+(1-(($B$5/$B$6)/(($B$5/$B$6)+(1-$B$5))))))*$B$8)*(1-(1-$B$11)/$D$44)+(1-$B$8)*(1-(1-$B$13)/$B$14))*(1-$B$16)/($B$17-$B$18))*$B$21+$B$23*($B$15*(((1-(((($B$5/$B$6)/(($B$5/$B$6)+(1-$B$5)))*$B$7)/(((($B$5/$B$6)/(($B$5/$B$6)+(1-$B$5)))*$B$7)+(1-(($B$5/$B$6)/(($B$5/$B$6)+(1-$B$5)))))))*$B$8)*(1-(1-$B$9)/$B$10)+((((($B$5/$B$6)/(($B$5/$B$6)+(1-$B$5)))*$B$7)/(((($B$5/$B$6)/(($B$5/$B$6)+(1-$B$5)))*$B$7)+(1-(($B$5/$B$6)/(($B$5/$B$6)+(1-$B$5))))))*$B$8)*(1-(1-$B$11)/$D$44)+(1-$B$8)*(1-(1-$B$13)/$B$14))*(1-$B$16)/($B$17-$B$18))+$B$24*((1-((((($B$5/$B$6)/(($B$5/$B$6)+(1-$B$5)))*$B$7)/(((($B$5/$B$6)/(($B$5/$B$6)+(1-$B$5)))*$B$7)+(1-(($B$5/$B$6)/(($B$5/$B$6)+(1-$B$5))))))*$B$8))*$B$19+((((($B$5/$B$6)/(($B$5/$B$6)+(1-$B$5)))*$B$7)/(((($B$5/$B$6)/(($B$5/$B$6)+(1-$B$5)))*$B$7)+(1-(($B$5/$B$6)/(($B$5/$B$6)+(1-$B$5))))))*$B$8)*$B$20))-$B$28)*$B$26/($B$28-$B$29))*$B$27,"n/a")</f>
        <v>567.622530199274</v>
      </c>
      <c r="G44" s="199" t="n">
        <f aca="false">IFERROR(ABS(F44-E44),"n/a")</f>
        <v>15.9295411436566</v>
      </c>
      <c r="H44" s="117" t="n">
        <f aca="false">IFERROR(G44/$B$32,"n/a")</f>
        <v>0.0284178166554549</v>
      </c>
      <c r="I44" s="22" t="s">
        <v>1588</v>
      </c>
    </row>
    <row r="45" customFormat="false" ht="15" hidden="false" customHeight="true" outlineLevel="0" collapsed="false">
      <c r="A45" s="18" t="s">
        <v>1589</v>
      </c>
      <c r="B45" s="113" t="n">
        <f aca="false">$B$18</f>
        <v>105000</v>
      </c>
      <c r="C45" s="212" t="n">
        <f aca="false">$B$18-50000</f>
        <v>55000</v>
      </c>
      <c r="D45" s="212" t="n">
        <f aca="false">$B$18+50000</f>
        <v>155000</v>
      </c>
      <c r="E45" s="200" t="n">
        <f aca="false">IFERROR($B$25+((($B$22*($B$15*(((1-(((($B$5/$B$6)/(($B$5/$B$6)+(1-$B$5)))*$B$7)/(((($B$5/$B$6)/(($B$5/$B$6)+(1-$B$5)))*$B$7)+(1-(($B$5/$B$6)/(($B$5/$B$6)+(1-$B$5)))))))*$B$8)*(1-(1-$B$9)/$B$10)+((((($B$5/$B$6)/(($B$5/$B$6)+(1-$B$5)))*$B$7)/(((($B$5/$B$6)/(($B$5/$B$6)+(1-$B$5)))*$B$7)+(1-(($B$5/$B$6)/(($B$5/$B$6)+(1-$B$5))))))*$B$8)*(1-(1-$B$11)/$B$12)+(1-$B$8)*(1-(1-$B$13)/$B$14))*(1-$B$16)/($B$17-$C$45))*$B$21+$B$23*($B$15*(((1-(((($B$5/$B$6)/(($B$5/$B$6)+(1-$B$5)))*$B$7)/(((($B$5/$B$6)/(($B$5/$B$6)+(1-$B$5)))*$B$7)+(1-(($B$5/$B$6)/(($B$5/$B$6)+(1-$B$5)))))))*$B$8)*(1-(1-$B$9)/$B$10)+((((($B$5/$B$6)/(($B$5/$B$6)+(1-$B$5)))*$B$7)/(((($B$5/$B$6)/(($B$5/$B$6)+(1-$B$5)))*$B$7)+(1-(($B$5/$B$6)/(($B$5/$B$6)+(1-$B$5))))))*$B$8)*(1-(1-$B$11)/$B$12)+(1-$B$8)*(1-(1-$B$13)/$B$14))*(1-$B$16)/($B$17-$C$45))+$B$24*((1-((((($B$5/$B$6)/(($B$5/$B$6)+(1-$B$5)))*$B$7)/(((($B$5/$B$6)/(($B$5/$B$6)+(1-$B$5)))*$B$7)+(1-(($B$5/$B$6)/(($B$5/$B$6)+(1-$B$5))))))*$B$8))*$B$19+((((($B$5/$B$6)/(($B$5/$B$6)+(1-$B$5)))*$B$7)/(((($B$5/$B$6)/(($B$5/$B$6)+(1-$B$5)))*$B$7)+(1-(($B$5/$B$6)/(($B$5/$B$6)+(1-$B$5))))))*$B$8)*$B$20))-$B$28)*$B$26/($B$28-$B$29))*$B$27,"n/a")</f>
        <v>497.904403178273</v>
      </c>
      <c r="F45" s="200" t="n">
        <f aca="false">IFERROR($B$25+((($B$22*($B$15*(((1-(((($B$5/$B$6)/(($B$5/$B$6)+(1-$B$5)))*$B$7)/(((($B$5/$B$6)/(($B$5/$B$6)+(1-$B$5)))*$B$7)+(1-(($B$5/$B$6)/(($B$5/$B$6)+(1-$B$5)))))))*$B$8)*(1-(1-$B$9)/$B$10)+((((($B$5/$B$6)/(($B$5/$B$6)+(1-$B$5)))*$B$7)/(((($B$5/$B$6)/(($B$5/$B$6)+(1-$B$5)))*$B$7)+(1-(($B$5/$B$6)/(($B$5/$B$6)+(1-$B$5))))))*$B$8)*(1-(1-$B$11)/$B$12)+(1-$B$8)*(1-(1-$B$13)/$B$14))*(1-$B$16)/($B$17-$D$45))*$B$21+$B$23*($B$15*(((1-(((($B$5/$B$6)/(($B$5/$B$6)+(1-$B$5)))*$B$7)/(((($B$5/$B$6)/(($B$5/$B$6)+(1-$B$5)))*$B$7)+(1-(($B$5/$B$6)/(($B$5/$B$6)+(1-$B$5)))))))*$B$8)*(1-(1-$B$9)/$B$10)+((((($B$5/$B$6)/(($B$5/$B$6)+(1-$B$5)))*$B$7)/(((($B$5/$B$6)/(($B$5/$B$6)+(1-$B$5)))*$B$7)+(1-(($B$5/$B$6)/(($B$5/$B$6)+(1-$B$5))))))*$B$8)*(1-(1-$B$11)/$B$12)+(1-$B$8)*(1-(1-$B$13)/$B$14))*(1-$B$16)/($B$17-$D$45))+$B$24*((1-((((($B$5/$B$6)/(($B$5/$B$6)+(1-$B$5)))*$B$7)/(((($B$5/$B$6)/(($B$5/$B$6)+(1-$B$5)))*$B$7)+(1-(($B$5/$B$6)/(($B$5/$B$6)+(1-$B$5))))))*$B$8))*$B$19+((((($B$5/$B$6)/(($B$5/$B$6)+(1-$B$5)))*$B$7)/(((($B$5/$B$6)/(($B$5/$B$6)+(1-$B$5)))*$B$7)+(1-(($B$5/$B$6)/(($B$5/$B$6)+(1-$B$5))))))*$B$8)*$B$20))-$B$28)*$B$26/($B$28-$B$29))*$B$27,"n/a")</f>
        <v>636.924700449734</v>
      </c>
      <c r="G45" s="199" t="n">
        <f aca="false">IFERROR(ABS(F45-E45),"n/a")</f>
        <v>139.02029727146</v>
      </c>
      <c r="H45" s="117" t="n">
        <f aca="false">IFERROR(G45/$B$32,"n/a")</f>
        <v>0.248007979867041</v>
      </c>
      <c r="I45" s="22" t="s">
        <v>1590</v>
      </c>
    </row>
    <row r="46" customFormat="false" ht="15" hidden="false" customHeight="true" outlineLevel="0" collapsed="false">
      <c r="A46" s="18" t="s">
        <v>1591</v>
      </c>
      <c r="B46" s="112" t="n">
        <f aca="false">$B$20</f>
        <v>0.15</v>
      </c>
      <c r="C46" s="176" t="n">
        <f aca="false">$B$20-0.1</f>
        <v>0.05</v>
      </c>
      <c r="D46" s="176" t="n">
        <f aca="false">$B$20+0.1</f>
        <v>0.25</v>
      </c>
      <c r="E46" s="200" t="n">
        <f aca="false">IFERROR($B$25+((($B$22*($B$15*(((1-(((($B$5/$B$6)/(($B$5/$B$6)+(1-$B$5)))*$B$7)/(((($B$5/$B$6)/(($B$5/$B$6)+(1-$B$5)))*$B$7)+(1-(($B$5/$B$6)/(($B$5/$B$6)+(1-$B$5)))))))*$B$8)*(1-(1-$B$9)/$B$10)+((((($B$5/$B$6)/(($B$5/$B$6)+(1-$B$5)))*$B$7)/(((($B$5/$B$6)/(($B$5/$B$6)+(1-$B$5)))*$B$7)+(1-(($B$5/$B$6)/(($B$5/$B$6)+(1-$B$5))))))*$B$8)*(1-(1-$B$11)/$B$12)+(1-$B$8)*(1-(1-$B$13)/$B$14))*(1-$B$16)/($B$17-$B$18))*$B$21+$B$23*($B$15*(((1-(((($B$5/$B$6)/(($B$5/$B$6)+(1-$B$5)))*$B$7)/(((($B$5/$B$6)/(($B$5/$B$6)+(1-$B$5)))*$B$7)+(1-(($B$5/$B$6)/(($B$5/$B$6)+(1-$B$5)))))))*$B$8)*(1-(1-$B$9)/$B$10)+((((($B$5/$B$6)/(($B$5/$B$6)+(1-$B$5)))*$B$7)/(((($B$5/$B$6)/(($B$5/$B$6)+(1-$B$5)))*$B$7)+(1-(($B$5/$B$6)/(($B$5/$B$6)+(1-$B$5))))))*$B$8)*(1-(1-$B$11)/$B$12)+(1-$B$8)*(1-(1-$B$13)/$B$14))*(1-$B$16)/($B$17-$B$18))+$B$24*((1-((((($B$5/$B$6)/(($B$5/$B$6)+(1-$B$5)))*$B$7)/(((($B$5/$B$6)/(($B$5/$B$6)+(1-$B$5)))*$B$7)+(1-(($B$5/$B$6)/(($B$5/$B$6)+(1-$B$5))))))*$B$8))*$B$19+((((($B$5/$B$6)/(($B$5/$B$6)+(1-$B$5)))*$B$7)/(((($B$5/$B$6)/(($B$5/$B$6)+(1-$B$5)))*$B$7)+(1-(($B$5/$B$6)/(($B$5/$B$6)+(1-$B$5))))))*$B$8)*$C$46))-$B$28)*$B$26/($B$28-$B$29))*$B$27,"n/a")</f>
        <v>545.8270478442</v>
      </c>
      <c r="F46" s="200" t="n">
        <f aca="false">IFERROR($B$25+((($B$22*($B$15*(((1-(((($B$5/$B$6)/(($B$5/$B$6)+(1-$B$5)))*$B$7)/(((($B$5/$B$6)/(($B$5/$B$6)+(1-$B$5)))*$B$7)+(1-(($B$5/$B$6)/(($B$5/$B$6)+(1-$B$5)))))))*$B$8)*(1-(1-$B$9)/$B$10)+((((($B$5/$B$6)/(($B$5/$B$6)+(1-$B$5)))*$B$7)/(((($B$5/$B$6)/(($B$5/$B$6)+(1-$B$5)))*$B$7)+(1-(($B$5/$B$6)/(($B$5/$B$6)+(1-$B$5))))))*$B$8)*(1-(1-$B$11)/$B$12)+(1-$B$8)*(1-(1-$B$13)/$B$14))*(1-$B$16)/($B$17-$B$18))*$B$21+$B$23*($B$15*(((1-(((($B$5/$B$6)/(($B$5/$B$6)+(1-$B$5)))*$B$7)/(((($B$5/$B$6)/(($B$5/$B$6)+(1-$B$5)))*$B$7)+(1-(($B$5/$B$6)/(($B$5/$B$6)+(1-$B$5)))))))*$B$8)*(1-(1-$B$9)/$B$10)+((((($B$5/$B$6)/(($B$5/$B$6)+(1-$B$5)))*$B$7)/(((($B$5/$B$6)/(($B$5/$B$6)+(1-$B$5)))*$B$7)+(1-(($B$5/$B$6)/(($B$5/$B$6)+(1-$B$5))))))*$B$8)*(1-(1-$B$11)/$B$12)+(1-$B$8)*(1-(1-$B$13)/$B$14))*(1-$B$16)/($B$17-$B$18))+$B$24*((1-((((($B$5/$B$6)/(($B$5/$B$6)+(1-$B$5)))*$B$7)/(((($B$5/$B$6)/(($B$5/$B$6)+(1-$B$5)))*$B$7)+(1-(($B$5/$B$6)/(($B$5/$B$6)+(1-$B$5))))))*$B$8))*$B$19+((((($B$5/$B$6)/(($B$5/$B$6)+(1-$B$5)))*$B$7)/(((($B$5/$B$6)/(($B$5/$B$6)+(1-$B$5)))*$B$7)+(1-(($B$5/$B$6)/(($B$5/$B$6)+(1-$B$5))))))*$B$8)*$D$46))-$B$28)*$B$26/($B$28-$B$29))*$B$27,"n/a")</f>
        <v>575.268308409982</v>
      </c>
      <c r="G46" s="199" t="n">
        <f aca="false">IFERROR(ABS(F46-E46),"n/a")</f>
        <v>29.4412605657813</v>
      </c>
      <c r="H46" s="117" t="n">
        <f aca="false">IFERROR(G46/$B$32,"n/a")</f>
        <v>0.0525223129353613</v>
      </c>
      <c r="I46" s="22" t="s">
        <v>1592</v>
      </c>
    </row>
    <row r="47" customFormat="false" ht="15" hidden="false" customHeight="true" outlineLevel="0" collapsed="false">
      <c r="A47" s="18" t="s">
        <v>1593</v>
      </c>
      <c r="B47" s="116" t="n">
        <f aca="false">$B$21</f>
        <v>1.5</v>
      </c>
      <c r="C47" s="203" t="n">
        <f aca="false">$B$21-0.25</f>
        <v>1.25</v>
      </c>
      <c r="D47" s="203" t="n">
        <f aca="false">$B$21+0.25</f>
        <v>1.75</v>
      </c>
      <c r="E47" s="200" t="n">
        <f aca="false">IFERROR($B$25+((($B$22*($B$15*(((1-(((($B$5/$B$6)/(($B$5/$B$6)+(1-$B$5)))*$B$7)/(((($B$5/$B$6)/(($B$5/$B$6)+(1-$B$5)))*$B$7)+(1-(($B$5/$B$6)/(($B$5/$B$6)+(1-$B$5)))))))*$B$8)*(1-(1-$B$9)/$B$10)+((((($B$5/$B$6)/(($B$5/$B$6)+(1-$B$5)))*$B$7)/(((($B$5/$B$6)/(($B$5/$B$6)+(1-$B$5)))*$B$7)+(1-(($B$5/$B$6)/(($B$5/$B$6)+(1-$B$5))))))*$B$8)*(1-(1-$B$11)/$B$12)+(1-$B$8)*(1-(1-$B$13)/$B$14))*(1-$B$16)/($B$17-$B$18))*$C$47+$B$23*($B$15*(((1-(((($B$5/$B$6)/(($B$5/$B$6)+(1-$B$5)))*$B$7)/(((($B$5/$B$6)/(($B$5/$B$6)+(1-$B$5)))*$B$7)+(1-(($B$5/$B$6)/(($B$5/$B$6)+(1-$B$5)))))))*$B$8)*(1-(1-$B$9)/$B$10)+((((($B$5/$B$6)/(($B$5/$B$6)+(1-$B$5)))*$B$7)/(((($B$5/$B$6)/(($B$5/$B$6)+(1-$B$5)))*$B$7)+(1-(($B$5/$B$6)/(($B$5/$B$6)+(1-$B$5))))))*$B$8)*(1-(1-$B$11)/$B$12)+(1-$B$8)*(1-(1-$B$13)/$B$14))*(1-$B$16)/($B$17-$B$18))+$B$24*((1-((((($B$5/$B$6)/(($B$5/$B$6)+(1-$B$5)))*$B$7)/(((($B$5/$B$6)/(($B$5/$B$6)+(1-$B$5)))*$B$7)+(1-(($B$5/$B$6)/(($B$5/$B$6)+(1-$B$5))))))*$B$8))*$B$19+((((($B$5/$B$6)/(($B$5/$B$6)+(1-$B$5)))*$B$7)/(((($B$5/$B$6)/(($B$5/$B$6)+(1-$B$5)))*$B$7)+(1-(($B$5/$B$6)/(($B$5/$B$6)+(1-$B$5))))))*$B$8)*$B$20))-$B$28)*$B$26/($B$28-$B$29))*$B$27,"n/a")</f>
        <v>510.779690255447</v>
      </c>
      <c r="F47" s="200" t="n">
        <f aca="false">IFERROR($B$25+((($B$22*($B$15*(((1-(((($B$5/$B$6)/(($B$5/$B$6)+(1-$B$5)))*$B$7)/(((($B$5/$B$6)/(($B$5/$B$6)+(1-$B$5)))*$B$7)+(1-(($B$5/$B$6)/(($B$5/$B$6)+(1-$B$5)))))))*$B$8)*(1-(1-$B$9)/$B$10)+((((($B$5/$B$6)/(($B$5/$B$6)+(1-$B$5)))*$B$7)/(((($B$5/$B$6)/(($B$5/$B$6)+(1-$B$5)))*$B$7)+(1-(($B$5/$B$6)/(($B$5/$B$6)+(1-$B$5))))))*$B$8)*(1-(1-$B$11)/$B$12)+(1-$B$8)*(1-(1-$B$13)/$B$14))*(1-$B$16)/($B$17-$B$18))*$D$47+$B$23*($B$15*(((1-(((($B$5/$B$6)/(($B$5/$B$6)+(1-$B$5)))*$B$7)/(((($B$5/$B$6)/(($B$5/$B$6)+(1-$B$5)))*$B$7)+(1-(($B$5/$B$6)/(($B$5/$B$6)+(1-$B$5)))))))*$B$8)*(1-(1-$B$9)/$B$10)+((((($B$5/$B$6)/(($B$5/$B$6)+(1-$B$5)))*$B$7)/(((($B$5/$B$6)/(($B$5/$B$6)+(1-$B$5)))*$B$7)+(1-(($B$5/$B$6)/(($B$5/$B$6)+(1-$B$5))))))*$B$8)*(1-(1-$B$11)/$B$12)+(1-$B$8)*(1-(1-$B$13)/$B$14))*(1-$B$16)/($B$17-$B$18))+$B$24*((1-((((($B$5/$B$6)/(($B$5/$B$6)+(1-$B$5)))*$B$7)/(((($B$5/$B$6)/(($B$5/$B$6)+(1-$B$5)))*$B$7)+(1-(($B$5/$B$6)/(($B$5/$B$6)+(1-$B$5))))))*$B$8))*$B$19+((((($B$5/$B$6)/(($B$5/$B$6)+(1-$B$5)))*$B$7)/(((($B$5/$B$6)/(($B$5/$B$6)+(1-$B$5)))*$B$7)+(1-(($B$5/$B$6)/(($B$5/$B$6)+(1-$B$5))))))*$B$8)*$B$20))-$B$28)*$B$26/($B$28-$B$29))*$B$27,"n/a")</f>
        <v>610.315665998735</v>
      </c>
      <c r="G47" s="199" t="n">
        <f aca="false">IFERROR(ABS(F47-E47),"n/a")</f>
        <v>99.5359757432889</v>
      </c>
      <c r="H47" s="117" t="n">
        <f aca="false">IFERROR(G47/$B$32,"n/a")</f>
        <v>0.177569151790727</v>
      </c>
      <c r="I47" s="22" t="s">
        <v>1594</v>
      </c>
    </row>
    <row r="48" customFormat="false" ht="15" hidden="false" customHeight="true" outlineLevel="0" collapsed="false">
      <c r="A48" s="21" t="s">
        <v>1595</v>
      </c>
      <c r="B48" s="213" t="n">
        <f aca="false">$B$26</f>
        <v>437.94</v>
      </c>
      <c r="C48" s="214" t="n">
        <f aca="false">$B$26-24.27</f>
        <v>413.67</v>
      </c>
      <c r="D48" s="214" t="n">
        <f aca="false">$B$26+24.27</f>
        <v>462.21</v>
      </c>
      <c r="E48" s="200" t="n">
        <f aca="false">IFERROR($B$25+((($B$22*($B$15*(((1-(((($B$5/$B$6)/(($B$5/$B$6)+(1-$B$5)))*$B$7)/(((($B$5/$B$6)/(($B$5/$B$6)+(1-$B$5)))*$B$7)+(1-(($B$5/$B$6)/(($B$5/$B$6)+(1-$B$5)))))))*$B$8)*(1-(1-$B$9)/$B$10)+((((($B$5/$B$6)/(($B$5/$B$6)+(1-$B$5)))*$B$7)/(((($B$5/$B$6)/(($B$5/$B$6)+(1-$B$5)))*$B$7)+(1-(($B$5/$B$6)/(($B$5/$B$6)+(1-$B$5))))))*$B$8)*(1-(1-$B$11)/$B$12)+(1-$B$8)*(1-(1-$B$13)/$B$14))*(1-$B$16)/($B$17-$B$18))*$B$21+$B$23*($B$15*(((1-(((($B$5/$B$6)/(($B$5/$B$6)+(1-$B$5)))*$B$7)/(((($B$5/$B$6)/(($B$5/$B$6)+(1-$B$5)))*$B$7)+(1-(($B$5/$B$6)/(($B$5/$B$6)+(1-$B$5)))))))*$B$8)*(1-(1-$B$9)/$B$10)+((((($B$5/$B$6)/(($B$5/$B$6)+(1-$B$5)))*$B$7)/(((($B$5/$B$6)/(($B$5/$B$6)+(1-$B$5)))*$B$7)+(1-(($B$5/$B$6)/(($B$5/$B$6)+(1-$B$5))))))*$B$8)*(1-(1-$B$11)/$B$12)+(1-$B$8)*(1-(1-$B$13)/$B$14))*(1-$B$16)/($B$17-$B$18))+$B$24*((1-((((($B$5/$B$6)/(($B$5/$B$6)+(1-$B$5)))*$B$7)/(((($B$5/$B$6)/(($B$5/$B$6)+(1-$B$5)))*$B$7)+(1-(($B$5/$B$6)/(($B$5/$B$6)+(1-$B$5))))))*$B$8))*$B$19+((((($B$5/$B$6)/(($B$5/$B$6)+(1-$B$5)))*$B$7)/(((($B$5/$B$6)/(($B$5/$B$6)+(1-$B$5)))*$B$7)+(1-(($B$5/$B$6)/(($B$5/$B$6)+(1-$B$5))))))*$B$8)*$B$20))-$B$28)*$C$48/($B$28-$B$29))*$B$27,"n/a")</f>
        <v>547.193423757385</v>
      </c>
      <c r="F48" s="200" t="n">
        <f aca="false">IFERROR($B$25+((($B$22*($B$15*(((1-(((($B$5/$B$6)/(($B$5/$B$6)+(1-$B$5)))*$B$7)/(((($B$5/$B$6)/(($B$5/$B$6)+(1-$B$5)))*$B$7)+(1-(($B$5/$B$6)/(($B$5/$B$6)+(1-$B$5)))))))*$B$8)*(1-(1-$B$9)/$B$10)+((((($B$5/$B$6)/(($B$5/$B$6)+(1-$B$5)))*$B$7)/(((($B$5/$B$6)/(($B$5/$B$6)+(1-$B$5)))*$B$7)+(1-(($B$5/$B$6)/(($B$5/$B$6)+(1-$B$5))))))*$B$8)*(1-(1-$B$11)/$B$12)+(1-$B$8)*(1-(1-$B$13)/$B$14))*(1-$B$16)/($B$17-$B$18))*$B$21+$B$23*($B$15*(((1-(((($B$5/$B$6)/(($B$5/$B$6)+(1-$B$5)))*$B$7)/(((($B$5/$B$6)/(($B$5/$B$6)+(1-$B$5)))*$B$7)+(1-(($B$5/$B$6)/(($B$5/$B$6)+(1-$B$5)))))))*$B$8)*(1-(1-$B$9)/$B$10)+((((($B$5/$B$6)/(($B$5/$B$6)+(1-$B$5)))*$B$7)/(((($B$5/$B$6)/(($B$5/$B$6)+(1-$B$5)))*$B$7)+(1-(($B$5/$B$6)/(($B$5/$B$6)+(1-$B$5))))))*$B$8)*(1-(1-$B$11)/$B$12)+(1-$B$8)*(1-(1-$B$13)/$B$14))*(1-$B$16)/($B$17-$B$18))+$B$24*((1-((((($B$5/$B$6)/(($B$5/$B$6)+(1-$B$5)))*$B$7)/(((($B$5/$B$6)/(($B$5/$B$6)+(1-$B$5)))*$B$7)+(1-(($B$5/$B$6)/(($B$5/$B$6)+(1-$B$5))))))*$B$8))*$B$19+((((($B$5/$B$6)/(($B$5/$B$6)+(1-$B$5)))*$B$7)/(((($B$5/$B$6)/(($B$5/$B$6)+(1-$B$5)))*$B$7)+(1-(($B$5/$B$6)/(($B$5/$B$6)+(1-$B$5))))))*$B$8)*$B$20))-$B$28)*$D$48/($B$28-$B$29))*$B$27,"n/a")</f>
        <v>573.901932496797</v>
      </c>
      <c r="G48" s="199" t="n">
        <f aca="false">IFERROR(ABS(F48-E48),"n/a")</f>
        <v>26.7085087394127</v>
      </c>
      <c r="H48" s="117" t="n">
        <f aca="false">IFERROR(G48/$B$32,"n/a")</f>
        <v>0.0476471668362832</v>
      </c>
      <c r="I48" s="22" t="s">
        <v>1596</v>
      </c>
    </row>
    <row r="49" customFormat="false" ht="15" hidden="false" customHeight="true" outlineLevel="0" collapsed="false">
      <c r="A49" s="18" t="s">
        <v>1110</v>
      </c>
      <c r="B49" s="112" t="n">
        <f aca="false">$B$28</f>
        <v>0.160003455644791</v>
      </c>
      <c r="C49" s="176" t="n">
        <f aca="false">$B$28-0.01</f>
        <v>0.150003455644791</v>
      </c>
      <c r="D49" s="176" t="n">
        <f aca="false">$B$28+0.01</f>
        <v>0.170003455644791</v>
      </c>
      <c r="E49" s="200" t="n">
        <f aca="false">IFERROR($B$25+((($B$22*($B$15*(((1-(((($B$5/$B$6)/(($B$5/$B$6)+(1-$B$5)))*$B$7)/(((($B$5/$B$6)/(($B$5/$B$6)+(1-$B$5)))*$B$7)+(1-(($B$5/$B$6)/(($B$5/$B$6)+(1-$B$5)))))))*$B$8)*(1-(1-$B$9)/$B$10)+((((($B$5/$B$6)/(($B$5/$B$6)+(1-$B$5)))*$B$7)/(((($B$5/$B$6)/(($B$5/$B$6)+(1-$B$5)))*$B$7)+(1-(($B$5/$B$6)/(($B$5/$B$6)+(1-$B$5))))))*$B$8)*(1-(1-$B$11)/$B$12)+(1-$B$8)*(1-(1-$B$13)/$B$14))*(1-$B$16)/($B$17-$B$18))*$B$21+$B$23*($B$15*(((1-(((($B$5/$B$6)/(($B$5/$B$6)+(1-$B$5)))*$B$7)/(((($B$5/$B$6)/(($B$5/$B$6)+(1-$B$5)))*$B$7)+(1-(($B$5/$B$6)/(($B$5/$B$6)+(1-$B$5)))))))*$B$8)*(1-(1-$B$9)/$B$10)+((((($B$5/$B$6)/(($B$5/$B$6)+(1-$B$5)))*$B$7)/(((($B$5/$B$6)/(($B$5/$B$6)+(1-$B$5)))*$B$7)+(1-(($B$5/$B$6)/(($B$5/$B$6)+(1-$B$5))))))*$B$8)*(1-(1-$B$11)/$B$12)+(1-$B$8)*(1-(1-$B$13)/$B$14))*(1-$B$16)/($B$17-$B$18))+$B$24*((1-((((($B$5/$B$6)/(($B$5/$B$6)+(1-$B$5)))*$B$7)/(((($B$5/$B$6)/(($B$5/$B$6)+(1-$B$5)))*$B$7)+(1-(($B$5/$B$6)/(($B$5/$B$6)+(1-$B$5))))))*$B$8))*$B$19+((((($B$5/$B$6)/(($B$5/$B$6)+(1-$B$5)))*$B$7)/(((($B$5/$B$6)/(($B$5/$B$6)+(1-$B$5)))*$B$7)+(1-(($B$5/$B$6)/(($B$5/$B$6)+(1-$B$5))))))*$B$8)*$B$20))-$C$49)*$B$26/($C$49-$B$29))*$B$27,"n/a")</f>
        <v>610.788807755215</v>
      </c>
      <c r="F49" s="200" t="n">
        <f aca="false">IFERROR($B$25+((($B$22*($B$15*(((1-(((($B$5/$B$6)/(($B$5/$B$6)+(1-$B$5)))*$B$7)/(((($B$5/$B$6)/(($B$5/$B$6)+(1-$B$5)))*$B$7)+(1-(($B$5/$B$6)/(($B$5/$B$6)+(1-$B$5)))))))*$B$8)*(1-(1-$B$9)/$B$10)+((((($B$5/$B$6)/(($B$5/$B$6)+(1-$B$5)))*$B$7)/(((($B$5/$B$6)/(($B$5/$B$6)+(1-$B$5)))*$B$7)+(1-(($B$5/$B$6)/(($B$5/$B$6)+(1-$B$5))))))*$B$8)*(1-(1-$B$11)/$B$12)+(1-$B$8)*(1-(1-$B$13)/$B$14))*(1-$B$16)/($B$17-$B$18))*$B$21+$B$23*($B$15*(((1-(((($B$5/$B$6)/(($B$5/$B$6)+(1-$B$5)))*$B$7)/(((($B$5/$B$6)/(($B$5/$B$6)+(1-$B$5)))*$B$7)+(1-(($B$5/$B$6)/(($B$5/$B$6)+(1-$B$5)))))))*$B$8)*(1-(1-$B$9)/$B$10)+((((($B$5/$B$6)/(($B$5/$B$6)+(1-$B$5)))*$B$7)/(((($B$5/$B$6)/(($B$5/$B$6)+(1-$B$5)))*$B$7)+(1-(($B$5/$B$6)/(($B$5/$B$6)+(1-$B$5))))))*$B$8)*(1-(1-$B$11)/$B$12)+(1-$B$8)*(1-(1-$B$13)/$B$14))*(1-$B$16)/($B$17-$B$18))+$B$24*((1-((((($B$5/$B$6)/(($B$5/$B$6)+(1-$B$5)))*$B$7)/(((($B$5/$B$6)/(($B$5/$B$6)+(1-$B$5)))*$B$7)+(1-(($B$5/$B$6)/(($B$5/$B$6)+(1-$B$5))))))*$B$8))*$B$19+((((($B$5/$B$6)/(($B$5/$B$6)+(1-$B$5)))*$B$7)/(((($B$5/$B$6)/(($B$5/$B$6)+(1-$B$5)))*$B$7)+(1-(($B$5/$B$6)/(($B$5/$B$6)+(1-$B$5))))))*$B$8)*$B$20))-$D$49)*$B$26/($D$49-$B$29))*$B$27,"n/a")</f>
        <v>518.035747600473</v>
      </c>
      <c r="G49" s="199" t="n">
        <f aca="false">IFERROR(ABS(F49-E49),"n/a")</f>
        <v>92.7530601547422</v>
      </c>
      <c r="H49" s="117" t="n">
        <f aca="false">IFERROR(G49/$B$32,"n/a")</f>
        <v>0.165468636788667</v>
      </c>
      <c r="I49" s="22" t="s">
        <v>1597</v>
      </c>
    </row>
    <row r="50" customFormat="false" ht="15" hidden="false" customHeight="true" outlineLevel="0" collapsed="false">
      <c r="A50" s="18" t="s">
        <v>1408</v>
      </c>
      <c r="B50" s="112" t="n">
        <f aca="false">$B$29</f>
        <v>0.04</v>
      </c>
      <c r="C50" s="176" t="n">
        <f aca="false">$B$29-0.005</f>
        <v>0.035</v>
      </c>
      <c r="D50" s="176" t="n">
        <f aca="false">$B$29+0.005</f>
        <v>0.045</v>
      </c>
      <c r="E50" s="200" t="n">
        <f aca="false">IFERROR($B$25+((($B$22*($B$15*(((1-(((($B$5/$B$6)/(($B$5/$B$6)+(1-$B$5)))*$B$7)/(((($B$5/$B$6)/(($B$5/$B$6)+(1-$B$5)))*$B$7)+(1-(($B$5/$B$6)/(($B$5/$B$6)+(1-$B$5)))))))*$B$8)*(1-(1-$B$9)/$B$10)+((((($B$5/$B$6)/(($B$5/$B$6)+(1-$B$5)))*$B$7)/(((($B$5/$B$6)/(($B$5/$B$6)+(1-$B$5)))*$B$7)+(1-(($B$5/$B$6)/(($B$5/$B$6)+(1-$B$5))))))*$B$8)*(1-(1-$B$11)/$B$12)+(1-$B$8)*(1-(1-$B$13)/$B$14))*(1-$B$16)/($B$17-$B$18))*$B$21+$B$23*($B$15*(((1-(((($B$5/$B$6)/(($B$5/$B$6)+(1-$B$5)))*$B$7)/(((($B$5/$B$6)/(($B$5/$B$6)+(1-$B$5)))*$B$7)+(1-(($B$5/$B$6)/(($B$5/$B$6)+(1-$B$5)))))))*$B$8)*(1-(1-$B$9)/$B$10)+((((($B$5/$B$6)/(($B$5/$B$6)+(1-$B$5)))*$B$7)/(((($B$5/$B$6)/(($B$5/$B$6)+(1-$B$5)))*$B$7)+(1-(($B$5/$B$6)/(($B$5/$B$6)+(1-$B$5))))))*$B$8)*(1-(1-$B$11)/$B$12)+(1-$B$8)*(1-(1-$B$13)/$B$14))*(1-$B$16)/($B$17-$B$18))+$B$24*((1-((((($B$5/$B$6)/(($B$5/$B$6)+(1-$B$5)))*$B$7)/(((($B$5/$B$6)/(($B$5/$B$6)+(1-$B$5)))*$B$7)+(1-(($B$5/$B$6)/(($B$5/$B$6)+(1-$B$5))))))*$B$8))*$B$19+((((($B$5/$B$6)/(($B$5/$B$6)+(1-$B$5)))*$B$7)/(((($B$5/$B$6)/(($B$5/$B$6)+(1-$B$5)))*$B$7)+(1-(($B$5/$B$6)/(($B$5/$B$6)+(1-$B$5))))))*$B$8)*$B$20))-$B$28)*$B$26/($B$28-$C$50))*$B$27,"n/a")</f>
        <v>550.909111197975</v>
      </c>
      <c r="F50" s="200" t="n">
        <f aca="false">IFERROR($B$25+((($B$22*($B$15*(((1-(((($B$5/$B$6)/(($B$5/$B$6)+(1-$B$5)))*$B$7)/(((($B$5/$B$6)/(($B$5/$B$6)+(1-$B$5)))*$B$7)+(1-(($B$5/$B$6)/(($B$5/$B$6)+(1-$B$5)))))))*$B$8)*(1-(1-$B$9)/$B$10)+((((($B$5/$B$6)/(($B$5/$B$6)+(1-$B$5)))*$B$7)/(((($B$5/$B$6)/(($B$5/$B$6)+(1-$B$5)))*$B$7)+(1-(($B$5/$B$6)/(($B$5/$B$6)+(1-$B$5))))))*$B$8)*(1-(1-$B$11)/$B$12)+(1-$B$8)*(1-(1-$B$13)/$B$14))*(1-$B$16)/($B$17-$B$18))*$B$21+$B$23*($B$15*(((1-(((($B$5/$B$6)/(($B$5/$B$6)+(1-$B$5)))*$B$7)/(((($B$5/$B$6)/(($B$5/$B$6)+(1-$B$5)))*$B$7)+(1-(($B$5/$B$6)/(($B$5/$B$6)+(1-$B$5)))))))*$B$8)*(1-(1-$B$9)/$B$10)+((((($B$5/$B$6)/(($B$5/$B$6)+(1-$B$5)))*$B$7)/(((($B$5/$B$6)/(($B$5/$B$6)+(1-$B$5)))*$B$7)+(1-(($B$5/$B$6)/(($B$5/$B$6)+(1-$B$5))))))*$B$8)*(1-(1-$B$11)/$B$12)+(1-$B$8)*(1-(1-$B$13)/$B$14))*(1-$B$16)/($B$17-$B$18))+$B$24*((1-((((($B$5/$B$6)/(($B$5/$B$6)+(1-$B$5)))*$B$7)/(((($B$5/$B$6)/(($B$5/$B$6)+(1-$B$5)))*$B$7)+(1-(($B$5/$B$6)/(($B$5/$B$6)+(1-$B$5))))))*$B$8))*$B$19+((((($B$5/$B$6)/(($B$5/$B$6)+(1-$B$5)))*$B$7)/(((($B$5/$B$6)/(($B$5/$B$6)+(1-$B$5)))*$B$7)+(1-(($B$5/$B$6)/(($B$5/$B$6)+(1-$B$5))))))*$B$8)*$B$20))-$B$28)*$B$26/($B$28-$D$50))*$B$27,"n/a")</f>
        <v>571.024356126441</v>
      </c>
      <c r="G50" s="199" t="n">
        <f aca="false">IFERROR(ABS(F50-E50),"n/a")</f>
        <v>20.1152449284659</v>
      </c>
      <c r="H50" s="117" t="n">
        <f aca="false">IFERROR(G50/$B$32,"n/a")</f>
        <v>0.0358849848342522</v>
      </c>
      <c r="I50" s="22" t="s">
        <v>1598</v>
      </c>
    </row>
    <row r="52" customFormat="false" ht="15" hidden="false" customHeight="true" outlineLevel="0" collapsed="false">
      <c r="A52" s="17" t="s">
        <v>1599</v>
      </c>
      <c r="B52" s="202" t="n">
        <f aca="false">B32</f>
        <v>560.547678127091</v>
      </c>
    </row>
    <row r="54" customFormat="false" ht="15" hidden="false" customHeight="true" outlineLevel="0" collapsed="false">
      <c r="A54" s="20" t="s">
        <v>1600</v>
      </c>
    </row>
    <row r="55" customFormat="false" ht="15" hidden="false" customHeight="true" outlineLevel="0" collapsed="false">
      <c r="A55" s="20" t="s">
        <v>1601</v>
      </c>
    </row>
    <row r="56" customFormat="false" ht="15" hidden="false" customHeight="true" outlineLevel="0" collapsed="false">
      <c r="A56" s="20" t="s">
        <v>1602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5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customHeight="false" zeroHeight="false" outlineLevelRow="0" outlineLevelCol="0"/>
  <cols>
    <col collapsed="false" customWidth="true" hidden="false" outlineLevel="0" max="1" min="1" style="1" width="24"/>
    <col collapsed="false" customWidth="true" hidden="false" outlineLevel="0" max="2" min="2" style="1" width="30"/>
    <col collapsed="false" customWidth="true" hidden="false" outlineLevel="0" max="3" min="3" style="1" width="14"/>
    <col collapsed="false" customWidth="true" hidden="false" outlineLevel="0" max="4" min="4" style="1" width="7"/>
    <col collapsed="false" customWidth="true" hidden="false" outlineLevel="0" max="5" min="5" style="1" width="42"/>
    <col collapsed="false" customWidth="true" hidden="false" outlineLevel="0" max="6" min="6" style="1" width="20"/>
    <col collapsed="false" customWidth="true" hidden="false" outlineLevel="0" max="8" min="7" style="1" width="11"/>
  </cols>
  <sheetData>
    <row r="1" customFormat="false" ht="17.25" hidden="false" customHeight="true" outlineLevel="0" collapsed="false">
      <c r="A1" s="171" t="s">
        <v>1603</v>
      </c>
      <c r="B1" s="172"/>
      <c r="C1" s="172"/>
      <c r="D1" s="172"/>
      <c r="E1" s="172"/>
      <c r="F1" s="172"/>
      <c r="G1" s="172"/>
      <c r="H1" s="172"/>
    </row>
    <row r="2" customFormat="false" ht="15" hidden="false" customHeight="true" outlineLevel="0" collapsed="false">
      <c r="A2" s="20" t="s">
        <v>1604</v>
      </c>
    </row>
    <row r="4" customFormat="false" ht="16.5" hidden="false" customHeight="true" outlineLevel="0" collapsed="false">
      <c r="A4" s="15" t="s">
        <v>1605</v>
      </c>
      <c r="B4" s="16"/>
      <c r="C4" s="16"/>
      <c r="D4" s="16"/>
      <c r="E4" s="16"/>
      <c r="F4" s="16"/>
      <c r="G4" s="16"/>
      <c r="H4" s="16"/>
    </row>
    <row r="5" customFormat="false" ht="15" hidden="false" customHeight="true" outlineLevel="0" collapsed="false">
      <c r="A5" s="215" t="s">
        <v>1606</v>
      </c>
      <c r="B5" s="18" t="s">
        <v>1607</v>
      </c>
    </row>
    <row r="6" customFormat="false" ht="15" hidden="false" customHeight="true" outlineLevel="0" collapsed="false">
      <c r="A6" s="216" t="s">
        <v>1608</v>
      </c>
      <c r="B6" s="18" t="s">
        <v>1609</v>
      </c>
    </row>
    <row r="7" customFormat="false" ht="15" hidden="false" customHeight="true" outlineLevel="0" collapsed="false">
      <c r="A7" s="217" t="s">
        <v>1610</v>
      </c>
      <c r="B7" s="18" t="s">
        <v>1611</v>
      </c>
    </row>
    <row r="9" customFormat="false" ht="16.5" hidden="false" customHeight="true" outlineLevel="0" collapsed="false">
      <c r="A9" s="15" t="s">
        <v>1612</v>
      </c>
      <c r="B9" s="16"/>
      <c r="C9" s="16"/>
      <c r="D9" s="16"/>
      <c r="E9" s="16"/>
      <c r="F9" s="16"/>
      <c r="G9" s="16"/>
      <c r="H9" s="16"/>
    </row>
    <row r="10" customFormat="false" ht="15" hidden="false" customHeight="true" outlineLevel="0" collapsed="false">
      <c r="A10" s="204" t="s">
        <v>1613</v>
      </c>
      <c r="B10" s="204" t="s">
        <v>182</v>
      </c>
      <c r="C10" s="103" t="s">
        <v>1614</v>
      </c>
      <c r="D10" s="103" t="s">
        <v>1615</v>
      </c>
      <c r="E10" s="103" t="s">
        <v>1616</v>
      </c>
      <c r="F10" s="103" t="s">
        <v>1617</v>
      </c>
      <c r="G10" s="102" t="s">
        <v>1618</v>
      </c>
      <c r="H10" s="103" t="s">
        <v>1619</v>
      </c>
    </row>
    <row r="11" customFormat="false" ht="15" hidden="false" customHeight="true" outlineLevel="0" collapsed="false">
      <c r="A11" s="21" t="s">
        <v>49</v>
      </c>
      <c r="B11" s="17" t="s">
        <v>1620</v>
      </c>
      <c r="C11" s="21" t="s">
        <v>1621</v>
      </c>
      <c r="D11" s="217" t="s">
        <v>1610</v>
      </c>
      <c r="E11" s="21" t="s">
        <v>1622</v>
      </c>
      <c r="F11" s="21" t="s">
        <v>1623</v>
      </c>
      <c r="G11" s="218" t="n">
        <f aca="false">Sensitivity!H45</f>
        <v>0.248007979867041</v>
      </c>
      <c r="H11" s="219" t="n">
        <v>1</v>
      </c>
    </row>
    <row r="12" customFormat="false" ht="15" hidden="false" customHeight="true" outlineLevel="0" collapsed="false">
      <c r="A12" s="18" t="s">
        <v>47</v>
      </c>
      <c r="B12" s="17" t="s">
        <v>1624</v>
      </c>
      <c r="C12" s="21" t="s">
        <v>1625</v>
      </c>
      <c r="D12" s="217" t="s">
        <v>1610</v>
      </c>
      <c r="E12" s="18" t="s">
        <v>1626</v>
      </c>
      <c r="F12" s="18" t="s">
        <v>1627</v>
      </c>
      <c r="G12" s="218" t="n">
        <f aca="false">Sensitivity!H41</f>
        <v>0.186389253550527</v>
      </c>
      <c r="H12" s="219" t="n">
        <v>2</v>
      </c>
    </row>
    <row r="13" customFormat="false" ht="15" hidden="false" customHeight="true" outlineLevel="0" collapsed="false">
      <c r="A13" s="18" t="s">
        <v>51</v>
      </c>
      <c r="B13" s="17" t="s">
        <v>1593</v>
      </c>
      <c r="C13" s="21" t="s">
        <v>1628</v>
      </c>
      <c r="D13" s="217" t="s">
        <v>1610</v>
      </c>
      <c r="E13" s="18" t="s">
        <v>1629</v>
      </c>
      <c r="F13" s="18" t="s">
        <v>1630</v>
      </c>
      <c r="G13" s="218" t="n">
        <f aca="false">Sensitivity!H47</f>
        <v>0.177569151790727</v>
      </c>
      <c r="H13" s="219" t="n">
        <v>3</v>
      </c>
    </row>
    <row r="14" customFormat="false" ht="15" hidden="false" customHeight="true" outlineLevel="0" collapsed="false">
      <c r="A14" s="18" t="s">
        <v>1631</v>
      </c>
      <c r="B14" s="17" t="s">
        <v>1632</v>
      </c>
      <c r="C14" s="21" t="s">
        <v>1633</v>
      </c>
      <c r="D14" s="217" t="s">
        <v>1610</v>
      </c>
      <c r="E14" s="18" t="s">
        <v>1634</v>
      </c>
      <c r="F14" s="21" t="s">
        <v>127</v>
      </c>
      <c r="G14" s="218" t="n">
        <f aca="false">Sensitivity!H49</f>
        <v>0.165468636788667</v>
      </c>
      <c r="H14" s="219" t="n">
        <v>4</v>
      </c>
    </row>
    <row r="15" customFormat="false" ht="15" hidden="false" customHeight="true" outlineLevel="0" collapsed="false">
      <c r="A15" s="18" t="s">
        <v>47</v>
      </c>
      <c r="B15" s="17" t="s">
        <v>1635</v>
      </c>
      <c r="C15" s="21" t="s">
        <v>1636</v>
      </c>
      <c r="D15" s="217" t="s">
        <v>1610</v>
      </c>
      <c r="E15" s="21" t="s">
        <v>1637</v>
      </c>
      <c r="F15" s="18" t="s">
        <v>1638</v>
      </c>
      <c r="G15" s="218" t="n">
        <f aca="false">Sensitivity!H42</f>
        <v>0.12559784000643</v>
      </c>
      <c r="H15" s="219" t="n">
        <v>5</v>
      </c>
    </row>
    <row r="16" customFormat="false" ht="15" hidden="false" customHeight="true" outlineLevel="0" collapsed="false">
      <c r="A16" s="18" t="s">
        <v>45</v>
      </c>
      <c r="B16" s="19" t="s">
        <v>1639</v>
      </c>
      <c r="C16" s="21" t="s">
        <v>1640</v>
      </c>
      <c r="D16" s="217" t="s">
        <v>1610</v>
      </c>
      <c r="E16" s="21" t="s">
        <v>1641</v>
      </c>
      <c r="F16" s="21" t="s">
        <v>1642</v>
      </c>
      <c r="G16" s="218" t="n">
        <f aca="false">Sensitivity!H43</f>
        <v>0.0251164284021023</v>
      </c>
      <c r="H16" s="219" t="n">
        <v>6</v>
      </c>
    </row>
    <row r="17" customFormat="false" ht="15" hidden="false" customHeight="true" outlineLevel="0" collapsed="false">
      <c r="A17" s="18" t="s">
        <v>51</v>
      </c>
      <c r="B17" s="17" t="s">
        <v>1591</v>
      </c>
      <c r="C17" s="21" t="s">
        <v>1643</v>
      </c>
      <c r="D17" s="217" t="s">
        <v>1610</v>
      </c>
      <c r="E17" s="18" t="s">
        <v>1644</v>
      </c>
      <c r="F17" s="18" t="s">
        <v>1645</v>
      </c>
      <c r="G17" s="218" t="n">
        <f aca="false">Sensitivity!H44</f>
        <v>0.0284178166554549</v>
      </c>
      <c r="H17" s="219" t="n">
        <v>7</v>
      </c>
    </row>
    <row r="18" customFormat="false" ht="15" hidden="false" customHeight="true" outlineLevel="0" collapsed="false">
      <c r="A18" s="18" t="s">
        <v>36</v>
      </c>
      <c r="B18" s="19" t="s">
        <v>1646</v>
      </c>
      <c r="C18" s="21" t="s">
        <v>1647</v>
      </c>
      <c r="D18" s="216" t="s">
        <v>1608</v>
      </c>
      <c r="E18" s="18" t="s">
        <v>1648</v>
      </c>
      <c r="F18" s="18" t="s">
        <v>1649</v>
      </c>
      <c r="G18" s="218" t="n">
        <f aca="false">Sensitivity!H48</f>
        <v>0.0476471668362832</v>
      </c>
      <c r="H18" s="219" t="n">
        <v>8</v>
      </c>
    </row>
    <row r="19" customFormat="false" ht="15" hidden="false" customHeight="true" outlineLevel="0" collapsed="false">
      <c r="A19" s="21" t="s">
        <v>1650</v>
      </c>
      <c r="B19" s="17" t="s">
        <v>1408</v>
      </c>
      <c r="C19" s="21" t="s">
        <v>1651</v>
      </c>
      <c r="D19" s="217" t="s">
        <v>1610</v>
      </c>
      <c r="E19" s="21" t="s">
        <v>1652</v>
      </c>
      <c r="F19" s="18" t="s">
        <v>1653</v>
      </c>
      <c r="G19" s="218" t="n">
        <f aca="false">Sensitivity!H50</f>
        <v>0.0358849848342522</v>
      </c>
      <c r="H19" s="219" t="n">
        <v>9</v>
      </c>
    </row>
    <row r="20" customFormat="false" ht="15" hidden="false" customHeight="true" outlineLevel="0" collapsed="false">
      <c r="A20" s="18" t="s">
        <v>45</v>
      </c>
      <c r="B20" s="19" t="s">
        <v>1654</v>
      </c>
      <c r="C20" s="21" t="s">
        <v>1655</v>
      </c>
      <c r="D20" s="217" t="s">
        <v>1610</v>
      </c>
      <c r="E20" s="21" t="s">
        <v>1656</v>
      </c>
      <c r="F20" s="21" t="s">
        <v>1657</v>
      </c>
      <c r="G20" s="218" t="n">
        <f aca="false">Sensitivity!H46</f>
        <v>0.0525223129353613</v>
      </c>
      <c r="H20" s="219" t="n">
        <v>10</v>
      </c>
    </row>
    <row r="21" customFormat="false" ht="15" hidden="false" customHeight="true" outlineLevel="0" collapsed="false">
      <c r="A21" s="18" t="s">
        <v>47</v>
      </c>
      <c r="B21" s="19" t="s">
        <v>1658</v>
      </c>
      <c r="C21" s="21" t="s">
        <v>1659</v>
      </c>
      <c r="D21" s="217" t="s">
        <v>1610</v>
      </c>
      <c r="E21" s="21" t="s">
        <v>1660</v>
      </c>
      <c r="F21" s="21" t="s">
        <v>1642</v>
      </c>
      <c r="G21" s="218" t="n">
        <f aca="false">Sensitivity!H51</f>
        <v>0</v>
      </c>
      <c r="H21" s="219" t="n">
        <v>11</v>
      </c>
    </row>
    <row r="22" customFormat="false" ht="15" hidden="false" customHeight="true" outlineLevel="0" collapsed="false">
      <c r="A22" s="18" t="s">
        <v>47</v>
      </c>
      <c r="B22" s="19" t="s">
        <v>1586</v>
      </c>
      <c r="C22" s="21" t="s">
        <v>1661</v>
      </c>
      <c r="D22" s="217" t="s">
        <v>1610</v>
      </c>
      <c r="E22" s="21" t="s">
        <v>1662</v>
      </c>
      <c r="F22" s="18" t="s">
        <v>1663</v>
      </c>
      <c r="G22" s="218" t="n">
        <f aca="false">Sensitivity!H52</f>
        <v>0</v>
      </c>
      <c r="H22" s="219" t="n">
        <v>12</v>
      </c>
    </row>
    <row r="23" customFormat="false" ht="15" hidden="false" customHeight="true" outlineLevel="0" collapsed="false">
      <c r="A23" s="18" t="s">
        <v>45</v>
      </c>
      <c r="B23" s="17" t="s">
        <v>1664</v>
      </c>
      <c r="C23" s="21" t="s">
        <v>1665</v>
      </c>
      <c r="D23" s="216" t="s">
        <v>1608</v>
      </c>
      <c r="E23" s="21" t="s">
        <v>1666</v>
      </c>
      <c r="F23" s="21" t="s">
        <v>1657</v>
      </c>
      <c r="G23" s="218" t="n">
        <f aca="false">Sensitivity!H53</f>
        <v>0</v>
      </c>
      <c r="H23" s="219" t="n">
        <v>13</v>
      </c>
    </row>
    <row r="25" customFormat="false" ht="16.5" hidden="false" customHeight="true" outlineLevel="0" collapsed="false">
      <c r="A25" s="15" t="s">
        <v>1667</v>
      </c>
      <c r="B25" s="16"/>
      <c r="C25" s="16"/>
      <c r="D25" s="16"/>
      <c r="E25" s="16"/>
      <c r="F25" s="16"/>
      <c r="G25" s="16"/>
      <c r="H25" s="16"/>
    </row>
    <row r="26" customFormat="false" ht="15" hidden="false" customHeight="true" outlineLevel="0" collapsed="false">
      <c r="A26" s="18" t="s">
        <v>24</v>
      </c>
      <c r="B26" s="18" t="s">
        <v>187</v>
      </c>
      <c r="C26" s="21" t="s">
        <v>1668</v>
      </c>
      <c r="D26" s="215" t="s">
        <v>1606</v>
      </c>
      <c r="E26" s="18" t="s">
        <v>1669</v>
      </c>
    </row>
    <row r="27" customFormat="false" ht="15" hidden="false" customHeight="true" outlineLevel="0" collapsed="false">
      <c r="A27" s="18" t="s">
        <v>24</v>
      </c>
      <c r="B27" s="18" t="s">
        <v>190</v>
      </c>
      <c r="C27" s="21" t="s">
        <v>1670</v>
      </c>
      <c r="D27" s="215" t="s">
        <v>1606</v>
      </c>
      <c r="E27" s="21" t="s">
        <v>1671</v>
      </c>
    </row>
    <row r="28" customFormat="false" ht="15" hidden="false" customHeight="true" outlineLevel="0" collapsed="false">
      <c r="A28" s="18" t="s">
        <v>45</v>
      </c>
      <c r="B28" s="21" t="s">
        <v>1672</v>
      </c>
      <c r="C28" s="21" t="s">
        <v>1628</v>
      </c>
      <c r="D28" s="215" t="s">
        <v>1606</v>
      </c>
      <c r="E28" s="21" t="s">
        <v>1673</v>
      </c>
    </row>
    <row r="29" customFormat="false" ht="15" hidden="false" customHeight="true" outlineLevel="0" collapsed="false">
      <c r="A29" s="18" t="s">
        <v>45</v>
      </c>
      <c r="B29" s="21" t="s">
        <v>1674</v>
      </c>
      <c r="C29" s="21" t="s">
        <v>1675</v>
      </c>
      <c r="D29" s="215" t="s">
        <v>1606</v>
      </c>
      <c r="E29" s="18" t="s">
        <v>1676</v>
      </c>
    </row>
    <row r="30" customFormat="false" ht="15" hidden="false" customHeight="true" outlineLevel="0" collapsed="false">
      <c r="A30" s="18" t="s">
        <v>51</v>
      </c>
      <c r="B30" s="18" t="s">
        <v>1677</v>
      </c>
      <c r="C30" s="21" t="s">
        <v>1678</v>
      </c>
      <c r="D30" s="215" t="s">
        <v>1606</v>
      </c>
      <c r="E30" s="21" t="s">
        <v>1679</v>
      </c>
    </row>
    <row r="31" customFormat="false" ht="15" hidden="false" customHeight="true" outlineLevel="0" collapsed="false">
      <c r="A31" s="18" t="s">
        <v>28</v>
      </c>
      <c r="B31" s="21" t="s">
        <v>1680</v>
      </c>
      <c r="C31" s="18" t="s">
        <v>1681</v>
      </c>
      <c r="D31" s="215" t="s">
        <v>1606</v>
      </c>
      <c r="E31" s="21" t="s">
        <v>1682</v>
      </c>
    </row>
    <row r="32" customFormat="false" ht="15" hidden="false" customHeight="true" outlineLevel="0" collapsed="false">
      <c r="A32" s="18" t="s">
        <v>36</v>
      </c>
      <c r="B32" s="21" t="s">
        <v>1683</v>
      </c>
      <c r="C32" s="21" t="s">
        <v>1684</v>
      </c>
      <c r="D32" s="215" t="s">
        <v>1606</v>
      </c>
      <c r="E32" s="18" t="s">
        <v>1401</v>
      </c>
    </row>
    <row r="34" customFormat="false" ht="16.5" hidden="false" customHeight="true" outlineLevel="0" collapsed="false">
      <c r="A34" s="15" t="s">
        <v>1685</v>
      </c>
      <c r="B34" s="16"/>
      <c r="C34" s="16"/>
      <c r="D34" s="16"/>
      <c r="E34" s="16"/>
      <c r="F34" s="16"/>
      <c r="G34" s="16"/>
      <c r="H34" s="16"/>
    </row>
    <row r="35" customFormat="false" ht="15" hidden="false" customHeight="true" outlineLevel="0" collapsed="false">
      <c r="A35" s="18" t="s">
        <v>36</v>
      </c>
      <c r="B35" s="18" t="s">
        <v>1686</v>
      </c>
      <c r="D35" s="216" t="s">
        <v>1608</v>
      </c>
      <c r="E35" s="18" t="s">
        <v>1687</v>
      </c>
      <c r="F35" s="18" t="s">
        <v>1688</v>
      </c>
    </row>
    <row r="36" customFormat="false" ht="15" hidden="false" customHeight="true" outlineLevel="0" collapsed="false">
      <c r="A36" s="18" t="s">
        <v>45</v>
      </c>
      <c r="B36" s="21" t="s">
        <v>1689</v>
      </c>
      <c r="D36" s="216" t="s">
        <v>1608</v>
      </c>
      <c r="E36" s="21" t="s">
        <v>1690</v>
      </c>
      <c r="F36" s="21" t="s">
        <v>1691</v>
      </c>
    </row>
    <row r="37" customFormat="false" ht="15" hidden="false" customHeight="true" outlineLevel="0" collapsed="false">
      <c r="A37" s="18" t="s">
        <v>1631</v>
      </c>
      <c r="B37" s="18" t="s">
        <v>1692</v>
      </c>
      <c r="D37" s="216" t="s">
        <v>1608</v>
      </c>
      <c r="E37" s="18" t="s">
        <v>1693</v>
      </c>
      <c r="F37" s="18" t="s">
        <v>174</v>
      </c>
    </row>
    <row r="38" customFormat="false" ht="15" hidden="false" customHeight="true" outlineLevel="0" collapsed="false">
      <c r="A38" s="18" t="s">
        <v>1631</v>
      </c>
      <c r="B38" s="18" t="s">
        <v>207</v>
      </c>
      <c r="D38" s="216" t="s">
        <v>1608</v>
      </c>
      <c r="E38" s="21" t="s">
        <v>1694</v>
      </c>
      <c r="F38" s="18" t="s">
        <v>1695</v>
      </c>
    </row>
    <row r="39" customFormat="false" ht="15" hidden="false" customHeight="true" outlineLevel="0" collapsed="false">
      <c r="A39" s="21" t="s">
        <v>49</v>
      </c>
      <c r="B39" s="18" t="s">
        <v>1696</v>
      </c>
      <c r="D39" s="216" t="s">
        <v>1608</v>
      </c>
      <c r="E39" s="18" t="s">
        <v>1697</v>
      </c>
      <c r="F39" s="18" t="s">
        <v>160</v>
      </c>
    </row>
    <row r="42" customFormat="false" ht="16.5" hidden="false" customHeight="true" outlineLevel="0" collapsed="false">
      <c r="A42" s="15" t="s">
        <v>1698</v>
      </c>
      <c r="B42" s="16"/>
      <c r="C42" s="16"/>
      <c r="D42" s="16"/>
      <c r="E42" s="16"/>
      <c r="F42" s="16"/>
      <c r="G42" s="16"/>
      <c r="H42" s="16"/>
    </row>
    <row r="43" customFormat="false" ht="15" hidden="false" customHeight="true" outlineLevel="0" collapsed="false">
      <c r="A43" s="204" t="s">
        <v>96</v>
      </c>
      <c r="B43" s="204" t="s">
        <v>97</v>
      </c>
      <c r="C43" s="204" t="s">
        <v>1699</v>
      </c>
      <c r="D43" s="204" t="s">
        <v>1700</v>
      </c>
    </row>
    <row r="44" customFormat="false" ht="15" hidden="false" customHeight="true" outlineLevel="0" collapsed="false">
      <c r="A44" s="21" t="s">
        <v>155</v>
      </c>
      <c r="B44" s="18" t="s">
        <v>1701</v>
      </c>
      <c r="C44" s="18" t="s">
        <v>1702</v>
      </c>
      <c r="D44" s="19" t="s">
        <v>1703</v>
      </c>
    </row>
    <row r="45" customFormat="false" ht="15" hidden="false" customHeight="true" outlineLevel="0" collapsed="false">
      <c r="A45" s="21" t="s">
        <v>1704</v>
      </c>
      <c r="B45" s="21" t="s">
        <v>107</v>
      </c>
      <c r="C45" s="18" t="s">
        <v>1705</v>
      </c>
      <c r="D45" s="19" t="s">
        <v>1706</v>
      </c>
    </row>
    <row r="46" customFormat="false" ht="15" hidden="false" customHeight="true" outlineLevel="0" collapsed="false">
      <c r="A46" s="21" t="s">
        <v>1707</v>
      </c>
      <c r="B46" s="21" t="s">
        <v>1708</v>
      </c>
      <c r="C46" s="18" t="s">
        <v>1709</v>
      </c>
      <c r="D46" s="19" t="s">
        <v>1703</v>
      </c>
    </row>
    <row r="47" customFormat="false" ht="15" hidden="false" customHeight="true" outlineLevel="0" collapsed="false">
      <c r="A47" s="21" t="s">
        <v>1454</v>
      </c>
      <c r="B47" s="21" t="s">
        <v>117</v>
      </c>
      <c r="C47" s="18" t="s">
        <v>1710</v>
      </c>
      <c r="D47" s="19" t="s">
        <v>1711</v>
      </c>
    </row>
    <row r="48" customFormat="false" ht="15" hidden="false" customHeight="true" outlineLevel="0" collapsed="false">
      <c r="A48" s="21" t="s">
        <v>1470</v>
      </c>
      <c r="B48" s="21" t="s">
        <v>122</v>
      </c>
      <c r="C48" s="21" t="s">
        <v>1712</v>
      </c>
      <c r="D48" s="19" t="s">
        <v>1713</v>
      </c>
    </row>
    <row r="49" customFormat="false" ht="15" hidden="false" customHeight="true" outlineLevel="0" collapsed="false">
      <c r="A49" s="18" t="s">
        <v>126</v>
      </c>
      <c r="B49" s="21" t="s">
        <v>127</v>
      </c>
      <c r="C49" s="18" t="s">
        <v>1714</v>
      </c>
      <c r="D49" s="19" t="s">
        <v>1715</v>
      </c>
    </row>
    <row r="50" customFormat="false" ht="15" hidden="false" customHeight="true" outlineLevel="0" collapsed="false">
      <c r="A50" s="21" t="s">
        <v>1716</v>
      </c>
      <c r="B50" s="18" t="s">
        <v>1717</v>
      </c>
      <c r="C50" s="18" t="s">
        <v>1718</v>
      </c>
      <c r="D50" s="19" t="s">
        <v>1719</v>
      </c>
    </row>
    <row r="53" customFormat="false" ht="15" hidden="false" customHeight="true" outlineLevel="0" collapsed="false">
      <c r="A53" s="20" t="s">
        <v>1720</v>
      </c>
    </row>
    <row r="54" customFormat="false" ht="15" hidden="false" customHeight="true" outlineLevel="0" collapsed="false">
      <c r="A54" s="22" t="s">
        <v>1721</v>
      </c>
    </row>
    <row r="55" customFormat="false" ht="15" hidden="false" customHeight="true" outlineLevel="0" collapsed="false">
      <c r="A55" s="20" t="s">
        <v>1722</v>
      </c>
    </row>
    <row r="56" customFormat="false" ht="15" hidden="false" customHeight="true" outlineLevel="0" collapsed="false">
      <c r="A56" s="20" t="s">
        <v>1723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LibreOffice/26.2.4.2$Linux_X86_64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2026-07-31T04:26:43Z</dcterms:created>
  <dc:creator>openpyxl</dc:creator>
  <dc:description/>
  <dc:language>en-US</dc:language>
  <cp:lastModifiedBy/>
  <dcterms:modified xsi:type="dcterms:W3CDTF">2026-07-31T09:04:03Z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